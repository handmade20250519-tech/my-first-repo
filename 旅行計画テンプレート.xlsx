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旅行概要" sheetId="1" state="visible" r:id="rId3"/>
    <sheet name="日別スケジュール" sheetId="2" state="visible" r:id="rId4"/>
    <sheet name="予約管理" sheetId="3" state="visible" r:id="rId5"/>
    <sheet name="旅行予算" sheetId="4" state="visible" r:id="rId6"/>
    <sheet name="持ち物チェックリスト" sheetId="5" state="visible" r:id="rId7"/>
    <sheet name="行きたい場所・食べたいもの" sheetId="6" state="visible" r:id="rId8"/>
    <sheet name="お土産リスト" sheetId="7" state="visible" r:id="rId9"/>
    <sheet name="緊急連絡先" sheetId="8" state="visible" r:id="rId10"/>
  </sheets>
  <definedNames>
    <definedName function="false" hidden="false" localSheetId="6" name="_xlnm.Print_Titles" vbProcedure="false">お土産リスト!$1:$3</definedName>
    <definedName function="false" hidden="false" localSheetId="2" name="_xlnm.Print_Titles" vbProcedure="false">予約管理!$1:$3</definedName>
    <definedName function="false" hidden="false" localSheetId="4" name="_xlnm.Print_Titles" vbProcedure="false">持ち物チェックリスト!$1:$3</definedName>
    <definedName function="false" hidden="false" localSheetId="3" name="_xlnm.Print_Titles" vbProcedure="false">旅行予算!$1:$2</definedName>
    <definedName function="false" hidden="false" localSheetId="0" name="_xlnm.Print_Titles" vbProcedure="false">旅行概要!$1:$2</definedName>
    <definedName function="false" hidden="false" localSheetId="1" name="_xlnm.Print_Titles" vbProcedure="false">日別スケジュール!$1:$3</definedName>
    <definedName function="false" hidden="false" localSheetId="7" name="_xlnm.Print_Titles" vbProcedure="false">緊急連絡先!$1:$3</definedName>
    <definedName function="false" hidden="false" localSheetId="5" name="_xlnm.Print_Titles" vbProcedure="false">行きたい場所・食べたいもの!$1:$3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<sst xmlns="http://schemas.openxmlformats.org/spreadsheetml/2006/main" count="197" uniqueCount="162">
  <si>
    <t xml:space="preserve">✈ 旅行概要</t>
  </si>
  <si>
    <r>
      <rPr>
        <i val="true"/>
        <sz val="9"/>
        <color rgb="FF5B5B5B"/>
        <rFont val="WenQuanYi Zen Hei"/>
        <family val="2"/>
      </rPr>
      <t xml:space="preserve">🔵 水色のセル </t>
    </r>
    <r>
      <rPr>
        <i val="true"/>
        <sz val="9"/>
        <color rgb="FF5B5B5B"/>
        <rFont val="游ゴシック"/>
        <family val="0"/>
        <charset val="1"/>
      </rPr>
      <t xml:space="preserve">= </t>
    </r>
    <r>
      <rPr>
        <i val="true"/>
        <sz val="9"/>
        <color rgb="FF5B5B5B"/>
        <rFont val="WenQuanYi Zen Hei"/>
        <family val="2"/>
      </rPr>
      <t xml:space="preserve">入力欄です。自由に書き換えてください　　🟠 オレンジのセル </t>
    </r>
    <r>
      <rPr>
        <i val="true"/>
        <sz val="9"/>
        <color rgb="FF5B5B5B"/>
        <rFont val="游ゴシック"/>
        <family val="0"/>
        <charset val="1"/>
      </rPr>
      <t xml:space="preserve">= </t>
    </r>
    <r>
      <rPr>
        <i val="true"/>
        <sz val="9"/>
        <color rgb="FF5B5B5B"/>
        <rFont val="WenQuanYi Zen Hei"/>
        <family val="2"/>
      </rPr>
      <t xml:space="preserve">自動計算欄です</t>
    </r>
    <r>
      <rPr>
        <i val="true"/>
        <sz val="9"/>
        <color rgb="FF5B5B5B"/>
        <rFont val="游ゴシック"/>
        <family val="0"/>
        <charset val="1"/>
      </rPr>
      <t xml:space="preserve">(</t>
    </r>
    <r>
      <rPr>
        <i val="true"/>
        <sz val="9"/>
        <color rgb="FF5B5B5B"/>
        <rFont val="WenQuanYi Zen Hei"/>
        <family val="2"/>
      </rPr>
      <t xml:space="preserve">編集不要</t>
    </r>
    <r>
      <rPr>
        <i val="true"/>
        <sz val="9"/>
        <color rgb="FF5B5B5B"/>
        <rFont val="游ゴシック"/>
        <family val="0"/>
        <charset val="1"/>
      </rPr>
      <t xml:space="preserve">)</t>
    </r>
  </si>
  <si>
    <t xml:space="preserve">旅行名</t>
  </si>
  <si>
    <r>
      <rPr>
        <sz val="10"/>
        <color rgb="FF333333"/>
        <rFont val="WenQuanYi Zen Hei"/>
        <family val="2"/>
      </rPr>
      <t xml:space="preserve">沖縄家族旅行</t>
    </r>
    <r>
      <rPr>
        <sz val="10"/>
        <color rgb="FF333333"/>
        <rFont val="游ゴシック"/>
        <family val="0"/>
        <charset val="1"/>
      </rPr>
      <t xml:space="preserve">2026</t>
    </r>
  </si>
  <si>
    <t xml:space="preserve">目的地</t>
  </si>
  <si>
    <t xml:space="preserve">沖縄県 那覇市・恩納村</t>
  </si>
  <si>
    <t xml:space="preserve">出発日</t>
  </si>
  <si>
    <t xml:space="preserve">帰宅日</t>
  </si>
  <si>
    <r>
      <rPr>
        <b val="true"/>
        <sz val="10"/>
        <color rgb="FF1F4E4A"/>
        <rFont val="WenQuanYi Zen Hei"/>
        <family val="2"/>
      </rPr>
      <t xml:space="preserve">旅行日数</t>
    </r>
    <r>
      <rPr>
        <b val="true"/>
        <sz val="10"/>
        <color rgb="FF1F4E4A"/>
        <rFont val="游ゴシック"/>
        <family val="0"/>
        <charset val="1"/>
      </rPr>
      <t xml:space="preserve">(</t>
    </r>
    <r>
      <rPr>
        <b val="true"/>
        <sz val="10"/>
        <color rgb="FF1F4E4A"/>
        <rFont val="WenQuanYi Zen Hei"/>
        <family val="2"/>
      </rPr>
      <t xml:space="preserve">自動計算</t>
    </r>
    <r>
      <rPr>
        <b val="true"/>
        <sz val="10"/>
        <color rgb="FF1F4E4A"/>
        <rFont val="游ゴシック"/>
        <family val="0"/>
        <charset val="1"/>
      </rPr>
      <t xml:space="preserve">)</t>
    </r>
  </si>
  <si>
    <t xml:space="preserve">参加者</t>
  </si>
  <si>
    <t xml:space="preserve">父・母・長女・長男</t>
  </si>
  <si>
    <t xml:space="preserve">交通手段</t>
  </si>
  <si>
    <r>
      <rPr>
        <sz val="10"/>
        <color rgb="FF333333"/>
        <rFont val="WenQuanYi Zen Hei"/>
        <family val="2"/>
      </rPr>
      <t xml:space="preserve">飛行機</t>
    </r>
    <r>
      <rPr>
        <sz val="10"/>
        <color rgb="FF333333"/>
        <rFont val="游ゴシック"/>
        <family val="0"/>
        <charset val="1"/>
      </rPr>
      <t xml:space="preserve">(ANA123</t>
    </r>
    <r>
      <rPr>
        <sz val="10"/>
        <color rgb="FF333333"/>
        <rFont val="WenQuanYi Zen Hei"/>
        <family val="2"/>
      </rPr>
      <t xml:space="preserve">便</t>
    </r>
    <r>
      <rPr>
        <sz val="10"/>
        <color rgb="FF333333"/>
        <rFont val="游ゴシック"/>
        <family val="0"/>
        <charset val="1"/>
      </rPr>
      <t xml:space="preserve">) + </t>
    </r>
    <r>
      <rPr>
        <sz val="10"/>
        <color rgb="FF333333"/>
        <rFont val="WenQuanYi Zen Hei"/>
        <family val="2"/>
      </rPr>
      <t xml:space="preserve">レンタカー</t>
    </r>
  </si>
  <si>
    <t xml:space="preserve">宿泊先</t>
  </si>
  <si>
    <r>
      <rPr>
        <sz val="10"/>
        <color rgb="FF333333"/>
        <rFont val="WenQuanYi Zen Hei"/>
        <family val="2"/>
      </rPr>
      <t xml:space="preserve">〇〇リゾート</t>
    </r>
    <r>
      <rPr>
        <sz val="10"/>
        <color rgb="FF333333"/>
        <rFont val="游ゴシック"/>
        <family val="0"/>
        <charset val="1"/>
      </rPr>
      <t xml:space="preserve">&amp;</t>
    </r>
    <r>
      <rPr>
        <sz val="10"/>
        <color rgb="FF333333"/>
        <rFont val="WenQuanYi Zen Hei"/>
        <family val="2"/>
      </rPr>
      <t xml:space="preserve">スパ 那覇</t>
    </r>
  </si>
  <si>
    <t xml:space="preserve">【凡例】</t>
  </si>
  <si>
    <t xml:space="preserve">＝入力欄です。旅行の情報を自由に書き換えてください</t>
  </si>
  <si>
    <t xml:space="preserve">＝自動計算欄です。数式が入っているため編集不要です</t>
  </si>
  <si>
    <t xml:space="preserve">📅 日別スケジュール</t>
  </si>
  <si>
    <t xml:space="preserve">日付</t>
  </si>
  <si>
    <t xml:space="preserve">時間</t>
  </si>
  <si>
    <t xml:space="preserve">予定</t>
  </si>
  <si>
    <t xml:space="preserve">場所</t>
  </si>
  <si>
    <t xml:space="preserve">移動手段</t>
  </si>
  <si>
    <t xml:space="preserve">予約有無</t>
  </si>
  <si>
    <t xml:space="preserve">費用</t>
  </si>
  <si>
    <t xml:space="preserve">メモ</t>
  </si>
  <si>
    <t xml:space="preserve">空港集合・チェックイン</t>
  </si>
  <si>
    <r>
      <rPr>
        <i val="true"/>
        <sz val="10"/>
        <color rgb="FF8C8C8C"/>
        <rFont val="WenQuanYi Zen Hei"/>
        <family val="2"/>
      </rPr>
      <t xml:space="preserve">羽田空港 第</t>
    </r>
    <r>
      <rPr>
        <i val="true"/>
        <sz val="10"/>
        <color rgb="FF8C8C8C"/>
        <rFont val="游ゴシック"/>
        <family val="0"/>
        <charset val="1"/>
      </rPr>
      <t xml:space="preserve">2</t>
    </r>
    <r>
      <rPr>
        <i val="true"/>
        <sz val="10"/>
        <color rgb="FF8C8C8C"/>
        <rFont val="WenQuanYi Zen Hei"/>
        <family val="2"/>
      </rPr>
      <t xml:space="preserve">ターミナル</t>
    </r>
  </si>
  <si>
    <t xml:space="preserve">電車</t>
  </si>
  <si>
    <t xml:space="preserve">済</t>
  </si>
  <si>
    <r>
      <rPr>
        <i val="true"/>
        <sz val="10"/>
        <color rgb="FF8C8C8C"/>
        <rFont val="游ゴシック"/>
        <family val="0"/>
        <charset val="1"/>
      </rPr>
      <t xml:space="preserve">1</t>
    </r>
    <r>
      <rPr>
        <i val="true"/>
        <sz val="10"/>
        <color rgb="FF8C8C8C"/>
        <rFont val="WenQuanYi Zen Hei"/>
        <family val="2"/>
      </rPr>
      <t xml:space="preserve">時間前集合</t>
    </r>
  </si>
  <si>
    <t xml:space="preserve">那覇空港到着・レンタカー受取</t>
  </si>
  <si>
    <t xml:space="preserve">那覇空港</t>
  </si>
  <si>
    <t xml:space="preserve">飛行機</t>
  </si>
  <si>
    <r>
      <rPr>
        <i val="true"/>
        <sz val="10"/>
        <color rgb="FF8C8C8C"/>
        <rFont val="游ゴシック"/>
        <family val="0"/>
        <charset val="1"/>
      </rPr>
      <t xml:space="preserve">ANA123</t>
    </r>
    <r>
      <rPr>
        <i val="true"/>
        <sz val="10"/>
        <color rgb="FF8C8C8C"/>
        <rFont val="WenQuanYi Zen Hei"/>
        <family val="2"/>
      </rPr>
      <t xml:space="preserve">便</t>
    </r>
  </si>
  <si>
    <t xml:space="preserve">ホテルチェックイン</t>
  </si>
  <si>
    <r>
      <rPr>
        <i val="true"/>
        <sz val="10"/>
        <color rgb="FF8C8C8C"/>
        <rFont val="WenQuanYi Zen Hei"/>
        <family val="2"/>
      </rPr>
      <t xml:space="preserve">〇〇リゾート</t>
    </r>
    <r>
      <rPr>
        <i val="true"/>
        <sz val="10"/>
        <color rgb="FF8C8C8C"/>
        <rFont val="游ゴシック"/>
        <family val="0"/>
        <charset val="1"/>
      </rPr>
      <t xml:space="preserve">&amp;</t>
    </r>
    <r>
      <rPr>
        <i val="true"/>
        <sz val="10"/>
        <color rgb="FF8C8C8C"/>
        <rFont val="WenQuanYi Zen Hei"/>
        <family val="2"/>
      </rPr>
      <t xml:space="preserve">スパ</t>
    </r>
  </si>
  <si>
    <t xml:space="preserve">レンタカー</t>
  </si>
  <si>
    <t xml:space="preserve">合計費用</t>
  </si>
  <si>
    <t xml:space="preserve">📝 予約管理</t>
  </si>
  <si>
    <t xml:space="preserve">カテゴリ</t>
  </si>
  <si>
    <t xml:space="preserve">予約先</t>
  </si>
  <si>
    <t xml:space="preserve">予約日時</t>
  </si>
  <si>
    <t xml:space="preserve">予約番号</t>
  </si>
  <si>
    <t xml:space="preserve">料金</t>
  </si>
  <si>
    <t xml:space="preserve">支払済み</t>
  </si>
  <si>
    <t xml:space="preserve">連絡先</t>
  </si>
  <si>
    <t xml:space="preserve">URL</t>
  </si>
  <si>
    <t xml:space="preserve">交通</t>
  </si>
  <si>
    <r>
      <rPr>
        <i val="true"/>
        <sz val="10"/>
        <color rgb="FF8C8C8C"/>
        <rFont val="游ゴシック"/>
        <family val="0"/>
        <charset val="1"/>
      </rPr>
      <t xml:space="preserve">ANA(</t>
    </r>
    <r>
      <rPr>
        <i val="true"/>
        <sz val="10"/>
        <color rgb="FF8C8C8C"/>
        <rFont val="WenQuanYi Zen Hei"/>
        <family val="2"/>
      </rPr>
      <t xml:space="preserve">全日空</t>
    </r>
    <r>
      <rPr>
        <i val="true"/>
        <sz val="10"/>
        <color rgb="FF8C8C8C"/>
        <rFont val="游ゴシック"/>
        <family val="0"/>
        <charset val="1"/>
      </rPr>
      <t xml:space="preserve">)</t>
    </r>
  </si>
  <si>
    <t xml:space="preserve">ABC1234</t>
  </si>
  <si>
    <t xml:space="preserve">0570-029-333</t>
  </si>
  <si>
    <t xml:space="preserve">https://www.ana.co.jp</t>
  </si>
  <si>
    <t xml:space="preserve">往復航空券</t>
  </si>
  <si>
    <t xml:space="preserve">宿泊</t>
  </si>
  <si>
    <r>
      <rPr>
        <i val="true"/>
        <sz val="10"/>
        <color rgb="FF8C8C8C"/>
        <rFont val="WenQuanYi Zen Hei"/>
        <family val="2"/>
      </rPr>
      <t xml:space="preserve">〇〇リゾート</t>
    </r>
    <r>
      <rPr>
        <i val="true"/>
        <sz val="10"/>
        <color rgb="FF8C8C8C"/>
        <rFont val="游ゴシック"/>
        <family val="0"/>
        <charset val="1"/>
      </rPr>
      <t xml:space="preserve">&amp;</t>
    </r>
    <r>
      <rPr>
        <i val="true"/>
        <sz val="10"/>
        <color rgb="FF8C8C8C"/>
        <rFont val="WenQuanYi Zen Hei"/>
        <family val="2"/>
      </rPr>
      <t xml:space="preserve">スパ 那覇</t>
    </r>
  </si>
  <si>
    <t xml:space="preserve">HTL-9821</t>
  </si>
  <si>
    <t xml:space="preserve">未払い</t>
  </si>
  <si>
    <t xml:space="preserve">098-000-0000</t>
  </si>
  <si>
    <t xml:space="preserve">https://example-resort.jp</t>
  </si>
  <si>
    <r>
      <rPr>
        <i val="true"/>
        <sz val="10"/>
        <color rgb="FF8C8C8C"/>
        <rFont val="游ゴシック"/>
        <family val="0"/>
        <charset val="1"/>
      </rPr>
      <t xml:space="preserve">2</t>
    </r>
    <r>
      <rPr>
        <i val="true"/>
        <sz val="10"/>
        <color rgb="FF8C8C8C"/>
        <rFont val="WenQuanYi Zen Hei"/>
        <family val="2"/>
      </rPr>
      <t xml:space="preserve">泊 朝食付き</t>
    </r>
  </si>
  <si>
    <t xml:space="preserve">沖縄レンタカー</t>
  </si>
  <si>
    <t xml:space="preserve">RC-5567</t>
  </si>
  <si>
    <t xml:space="preserve">098-111-2222</t>
  </si>
  <si>
    <t xml:space="preserve">https://example-rentacar.jp</t>
  </si>
  <si>
    <r>
      <rPr>
        <i val="true"/>
        <sz val="10"/>
        <color rgb="FF8C8C8C"/>
        <rFont val="WenQuanYi Zen Hei"/>
        <family val="2"/>
      </rPr>
      <t xml:space="preserve">コンパクトカー </t>
    </r>
    <r>
      <rPr>
        <i val="true"/>
        <sz val="10"/>
        <color rgb="FF8C8C8C"/>
        <rFont val="游ゴシック"/>
        <family val="0"/>
        <charset val="1"/>
      </rPr>
      <t xml:space="preserve">3</t>
    </r>
    <r>
      <rPr>
        <i val="true"/>
        <sz val="10"/>
        <color rgb="FF8C8C8C"/>
        <rFont val="WenQuanYi Zen Hei"/>
        <family val="2"/>
      </rPr>
      <t xml:space="preserve">日間</t>
    </r>
  </si>
  <si>
    <t xml:space="preserve">合計料金</t>
  </si>
  <si>
    <t xml:space="preserve">💴 旅行予算</t>
  </si>
  <si>
    <t xml:space="preserve">費目</t>
  </si>
  <si>
    <t xml:space="preserve">予算</t>
  </si>
  <si>
    <t xml:space="preserve">実績</t>
  </si>
  <si>
    <t xml:space="preserve">差額</t>
  </si>
  <si>
    <t xml:space="preserve">サマリー</t>
  </si>
  <si>
    <t xml:space="preserve">交通費</t>
  </si>
  <si>
    <t xml:space="preserve">合計予算</t>
  </si>
  <si>
    <t xml:space="preserve">宿泊費</t>
  </si>
  <si>
    <t xml:space="preserve">合計実績</t>
  </si>
  <si>
    <t xml:space="preserve">食費</t>
  </si>
  <si>
    <t xml:space="preserve">残り予算</t>
  </si>
  <si>
    <t xml:space="preserve">観光費</t>
  </si>
  <si>
    <t xml:space="preserve">予算消化率</t>
  </si>
  <si>
    <t xml:space="preserve">お土産</t>
  </si>
  <si>
    <t xml:space="preserve">その他</t>
  </si>
  <si>
    <t xml:space="preserve">合計</t>
  </si>
  <si>
    <t xml:space="preserve">※「予算」と「実績」の水色セルに入力してください。「差額」は自動計算されます。</t>
  </si>
  <si>
    <t xml:space="preserve">🎒 持ち物チェックリスト</t>
  </si>
  <si>
    <t xml:space="preserve">持ち物</t>
  </si>
  <si>
    <t xml:space="preserve">必要数</t>
  </si>
  <si>
    <t xml:space="preserve">準備済みチェック</t>
  </si>
  <si>
    <t xml:space="preserve">衣類</t>
  </si>
  <si>
    <r>
      <rPr>
        <i val="true"/>
        <sz val="10"/>
        <color rgb="FF8C8C8C"/>
        <rFont val="WenQuanYi Zen Hei"/>
        <family val="2"/>
      </rPr>
      <t xml:space="preserve">着替え</t>
    </r>
    <r>
      <rPr>
        <i val="true"/>
        <sz val="10"/>
        <color rgb="FF8C8C8C"/>
        <rFont val="游ゴシック"/>
        <family val="0"/>
        <charset val="1"/>
      </rPr>
      <t xml:space="preserve">(3</t>
    </r>
    <r>
      <rPr>
        <i val="true"/>
        <sz val="10"/>
        <color rgb="FF8C8C8C"/>
        <rFont val="WenQuanYi Zen Hei"/>
        <family val="2"/>
      </rPr>
      <t xml:space="preserve">日分</t>
    </r>
    <r>
      <rPr>
        <i val="true"/>
        <sz val="10"/>
        <color rgb="FF8C8C8C"/>
        <rFont val="游ゴシック"/>
        <family val="0"/>
        <charset val="1"/>
      </rPr>
      <t xml:space="preserve">)</t>
    </r>
  </si>
  <si>
    <t xml:space="preserve">✓</t>
  </si>
  <si>
    <t xml:space="preserve">現地は暑いので薄手のもの</t>
  </si>
  <si>
    <t xml:space="preserve">洗面用具</t>
  </si>
  <si>
    <t xml:space="preserve">歯ブラシセット</t>
  </si>
  <si>
    <t xml:space="preserve">電子機器</t>
  </si>
  <si>
    <t xml:space="preserve">スマホ充電器</t>
  </si>
  <si>
    <t xml:space="preserve">未</t>
  </si>
  <si>
    <t xml:space="preserve">モバイルバッテリーも忘れずに</t>
  </si>
  <si>
    <t xml:space="preserve">書類</t>
  </si>
  <si>
    <t xml:space="preserve">身分証明書・保険証</t>
  </si>
  <si>
    <t xml:space="preserve">免許証・保険証のコピー</t>
  </si>
  <si>
    <t xml:space="preserve">日焼け止め</t>
  </si>
  <si>
    <t xml:space="preserve">準備進捗</t>
  </si>
  <si>
    <t xml:space="preserve">※準備進捗は「必要な持ち物の数」「✓済みの数」「達成率」の順に自動計算されます。</t>
  </si>
  <si>
    <t xml:space="preserve">📍 行きたい場所・食べたいもの</t>
  </si>
  <si>
    <t xml:space="preserve">名称</t>
  </si>
  <si>
    <t xml:space="preserve">エリア</t>
  </si>
  <si>
    <t xml:space="preserve">優先度</t>
  </si>
  <si>
    <t xml:space="preserve">営業時間</t>
  </si>
  <si>
    <t xml:space="preserve">首里城公園</t>
  </si>
  <si>
    <t xml:space="preserve">観光地</t>
  </si>
  <si>
    <t xml:space="preserve">那覇市</t>
  </si>
  <si>
    <t xml:space="preserve">高</t>
  </si>
  <si>
    <t xml:space="preserve">9:00-18:00</t>
  </si>
  <si>
    <t xml:space="preserve">https://oki-park.jp/shurijo/</t>
  </si>
  <si>
    <t xml:space="preserve">世界遺産</t>
  </si>
  <si>
    <t xml:space="preserve">国際通り</t>
  </si>
  <si>
    <t xml:space="preserve">ショッピング</t>
  </si>
  <si>
    <t xml:space="preserve">中</t>
  </si>
  <si>
    <t xml:space="preserve">10:00-22:00</t>
  </si>
  <si>
    <t xml:space="preserve">お土産・食べ歩き</t>
  </si>
  <si>
    <t xml:space="preserve">青の洞窟シュノーケリング</t>
  </si>
  <si>
    <t xml:space="preserve">体験・アクティビティ</t>
  </si>
  <si>
    <t xml:space="preserve">恩納村</t>
  </si>
  <si>
    <t xml:space="preserve">要予約</t>
  </si>
  <si>
    <t xml:space="preserve">事前予約必須</t>
  </si>
  <si>
    <t xml:space="preserve">沖縄そば専門店</t>
  </si>
  <si>
    <t xml:space="preserve">グルメ</t>
  </si>
  <si>
    <t xml:space="preserve">11:00-15:00</t>
  </si>
  <si>
    <t xml:space="preserve">地元で人気の店</t>
  </si>
  <si>
    <t xml:space="preserve">🎁 お土産リスト</t>
  </si>
  <si>
    <t xml:space="preserve">渡す相手</t>
  </si>
  <si>
    <t xml:space="preserve">商品候補</t>
  </si>
  <si>
    <t xml:space="preserve">購入済み</t>
  </si>
  <si>
    <t xml:space="preserve">職場の皆さん</t>
  </si>
  <si>
    <r>
      <rPr>
        <i val="true"/>
        <sz val="10"/>
        <color rgb="FF8C8C8C"/>
        <rFont val="WenQuanYi Zen Hei"/>
        <family val="2"/>
      </rPr>
      <t xml:space="preserve">紅芋タルト</t>
    </r>
    <r>
      <rPr>
        <i val="true"/>
        <sz val="10"/>
        <color rgb="FF8C8C8C"/>
        <rFont val="游ゴシック"/>
        <family val="0"/>
        <charset val="1"/>
      </rPr>
      <t xml:space="preserve">(</t>
    </r>
    <r>
      <rPr>
        <i val="true"/>
        <sz val="10"/>
        <color rgb="FF8C8C8C"/>
        <rFont val="WenQuanYi Zen Hei"/>
        <family val="2"/>
      </rPr>
      <t xml:space="preserve">個包装</t>
    </r>
    <r>
      <rPr>
        <i val="true"/>
        <sz val="10"/>
        <color rgb="FF8C8C8C"/>
        <rFont val="游ゴシック"/>
        <family val="0"/>
        <charset val="1"/>
      </rPr>
      <t xml:space="preserve">)</t>
    </r>
  </si>
  <si>
    <r>
      <rPr>
        <i val="true"/>
        <sz val="10"/>
        <color rgb="FF8C8C8C"/>
        <rFont val="游ゴシック"/>
        <family val="0"/>
        <charset val="1"/>
      </rPr>
      <t xml:space="preserve">20</t>
    </r>
    <r>
      <rPr>
        <i val="true"/>
        <sz val="10"/>
        <color rgb="FF8C8C8C"/>
        <rFont val="WenQuanYi Zen Hei"/>
        <family val="2"/>
      </rPr>
      <t xml:space="preserve">個入りを選ぶ</t>
    </r>
  </si>
  <si>
    <r>
      <rPr>
        <i val="true"/>
        <sz val="10"/>
        <color rgb="FF8C8C8C"/>
        <rFont val="WenQuanYi Zen Hei"/>
        <family val="2"/>
      </rPr>
      <t xml:space="preserve">友人</t>
    </r>
    <r>
      <rPr>
        <i val="true"/>
        <sz val="10"/>
        <color rgb="FF8C8C8C"/>
        <rFont val="游ゴシック"/>
        <family val="0"/>
        <charset val="1"/>
      </rPr>
      <t xml:space="preserve">A</t>
    </r>
    <r>
      <rPr>
        <i val="true"/>
        <sz val="10"/>
        <color rgb="FF8C8C8C"/>
        <rFont val="WenQuanYi Zen Hei"/>
        <family val="2"/>
      </rPr>
      <t xml:space="preserve">さん</t>
    </r>
  </si>
  <si>
    <t xml:space="preserve">シーサーの置物</t>
  </si>
  <si>
    <t xml:space="preserve">家族用</t>
  </si>
  <si>
    <t xml:space="preserve">海ぶどう・ちんすこう</t>
  </si>
  <si>
    <t xml:space="preserve">🚨 緊急連絡先</t>
  </si>
  <si>
    <t xml:space="preserve">電話番号</t>
  </si>
  <si>
    <t xml:space="preserve">用途</t>
  </si>
  <si>
    <t xml:space="preserve">警察</t>
  </si>
  <si>
    <t xml:space="preserve">110</t>
  </si>
  <si>
    <t xml:space="preserve">事件・事故</t>
  </si>
  <si>
    <t xml:space="preserve">消防・救急</t>
  </si>
  <si>
    <t xml:space="preserve">119</t>
  </si>
  <si>
    <t xml:space="preserve">火事・急病</t>
  </si>
  <si>
    <t xml:space="preserve">海上保安庁</t>
  </si>
  <si>
    <t xml:space="preserve">118</t>
  </si>
  <si>
    <t xml:space="preserve">海の事故</t>
  </si>
  <si>
    <r>
      <rPr>
        <i val="true"/>
        <sz val="10"/>
        <color rgb="FF8C8C8C"/>
        <rFont val="WenQuanYi Zen Hei"/>
        <family val="2"/>
      </rPr>
      <t xml:space="preserve">宿泊先</t>
    </r>
    <r>
      <rPr>
        <i val="true"/>
        <sz val="10"/>
        <color rgb="FF8C8C8C"/>
        <rFont val="游ゴシック"/>
        <family val="0"/>
        <charset val="1"/>
      </rPr>
      <t xml:space="preserve">(</t>
    </r>
    <r>
      <rPr>
        <i val="true"/>
        <sz val="10"/>
        <color rgb="FF8C8C8C"/>
        <rFont val="WenQuanYi Zen Hei"/>
        <family val="2"/>
      </rPr>
      <t xml:space="preserve">〇〇リゾート</t>
    </r>
    <r>
      <rPr>
        <i val="true"/>
        <sz val="10"/>
        <color rgb="FF8C8C8C"/>
        <rFont val="游ゴシック"/>
        <family val="0"/>
        <charset val="1"/>
      </rPr>
      <t xml:space="preserve">&amp;</t>
    </r>
    <r>
      <rPr>
        <i val="true"/>
        <sz val="10"/>
        <color rgb="FF8C8C8C"/>
        <rFont val="WenQuanYi Zen Hei"/>
        <family val="2"/>
      </rPr>
      <t xml:space="preserve">スパ</t>
    </r>
    <r>
      <rPr>
        <i val="true"/>
        <sz val="10"/>
        <color rgb="FF8C8C8C"/>
        <rFont val="游ゴシック"/>
        <family val="0"/>
        <charset val="1"/>
      </rPr>
      <t xml:space="preserve">)</t>
    </r>
  </si>
  <si>
    <t xml:space="preserve">宿泊トラブル</t>
  </si>
  <si>
    <r>
      <rPr>
        <i val="true"/>
        <sz val="10"/>
        <color rgb="FF8C8C8C"/>
        <rFont val="WenQuanYi Zen Hei"/>
        <family val="2"/>
      </rPr>
      <t xml:space="preserve">例</t>
    </r>
    <r>
      <rPr>
        <i val="true"/>
        <sz val="10"/>
        <color rgb="FF8C8C8C"/>
        <rFont val="游ゴシック"/>
        <family val="0"/>
        <charset val="1"/>
      </rPr>
      <t xml:space="preserve">:</t>
    </r>
    <r>
      <rPr>
        <i val="true"/>
        <sz val="10"/>
        <color rgb="FF8C8C8C"/>
        <rFont val="WenQuanYi Zen Hei"/>
        <family val="2"/>
      </rPr>
      <t xml:space="preserve">チェックイン遅延など</t>
    </r>
  </si>
  <si>
    <t xml:space="preserve">旅行保険会社</t>
  </si>
  <si>
    <t xml:space="preserve">0120-000-000</t>
  </si>
  <si>
    <t xml:space="preserve">保険申請・事故対応</t>
  </si>
  <si>
    <t xml:space="preserve">契約番号を控えておく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</si>
</sst>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年m\月d\日"/>
    <numFmt numFmtId="166" formatCode="m\月d\日"/>
    <numFmt numFmtId="167" formatCode="hh:mm"/>
    <numFmt numFmtId="168" formatCode="\¥#,##0"/>
    <numFmt numFmtId="169" formatCode="\¥#,##0;[RED]&quot;-¥&quot;#,##0"/>
    <numFmt numFmtId="170" formatCode="yyyy/m/d\ hh:mm"/>
    <numFmt numFmtId="171" formatCode="0.0%"/>
    <numFmt numFmtId="172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WenQuanYi Zen Hei"/>
      <family val="2"/>
    </font>
    <font>
      <i val="true"/>
      <sz val="9"/>
      <color rgb="FF5B5B5B"/>
      <name val="WenQuanYi Zen Hei"/>
      <family val="2"/>
    </font>
    <font>
      <i val="true"/>
      <sz val="9"/>
      <color rgb="FF5B5B5B"/>
      <name val="游ゴシック"/>
      <family val="0"/>
      <charset val="1"/>
    </font>
    <font>
      <b val="true"/>
      <sz val="10"/>
      <color rgb="FF1F4E4A"/>
      <name val="WenQuanYi Zen Hei"/>
      <family val="2"/>
    </font>
    <font>
      <sz val="10"/>
      <color rgb="FF333333"/>
      <name val="WenQuanYi Zen Hei"/>
      <family val="2"/>
    </font>
    <font>
      <sz val="10"/>
      <color rgb="FF333333"/>
      <name val="游ゴシック"/>
      <family val="0"/>
      <charset val="1"/>
    </font>
    <font>
      <b val="true"/>
      <sz val="10"/>
      <color rgb="FF1F4E4A"/>
      <name val="游ゴシック"/>
      <family val="0"/>
      <charset val="1"/>
    </font>
    <font>
      <sz val="10"/>
      <color rgb="FF7A4A16"/>
      <name val="游ゴシック"/>
      <family val="0"/>
      <charset val="1"/>
    </font>
    <font>
      <b val="true"/>
      <sz val="10"/>
      <color rgb="FFFFFFFF"/>
      <name val="WenQuanYi Zen Hei"/>
      <family val="2"/>
    </font>
    <font>
      <i val="true"/>
      <sz val="10"/>
      <color rgb="FF8C8C8C"/>
      <name val="游ゴシック"/>
      <family val="0"/>
      <charset val="1"/>
    </font>
    <font>
      <i val="true"/>
      <sz val="10"/>
      <color rgb="FF8C8C8C"/>
      <name val="WenQuanYi Zen Hei"/>
      <family val="2"/>
    </font>
    <font>
      <b val="true"/>
      <sz val="10"/>
      <color rgb="FFFFFFFF"/>
      <name val="游ゴシック"/>
      <family val="0"/>
      <charset val="1"/>
    </font>
    <font>
      <b val="true"/>
      <sz val="13"/>
      <color rgb="FF1F4E4A"/>
      <name val="游ゴシック"/>
      <family val="0"/>
      <charset val="1"/>
    </font>
    <font>
      <i val="true"/>
      <sz val="9"/>
      <color rgb="FF8C8C8C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4A"/>
        <bgColor rgb="FF333333"/>
      </patternFill>
    </fill>
    <fill>
      <patternFill patternType="solid">
        <fgColor rgb="FFFFFFFF"/>
        <bgColor rgb="FFF6F4EE"/>
      </patternFill>
    </fill>
    <fill>
      <patternFill patternType="solid">
        <fgColor rgb="FF9FC6BE"/>
        <bgColor rgb="FFA6A6A6"/>
      </patternFill>
    </fill>
    <fill>
      <patternFill patternType="solid">
        <fgColor rgb="FFDCEEF3"/>
        <bgColor rgb="FFF6F4EE"/>
      </patternFill>
    </fill>
    <fill>
      <patternFill patternType="solid">
        <fgColor rgb="FFFCEBC8"/>
        <bgColor rgb="FFF6F4EE"/>
      </patternFill>
    </fill>
    <fill>
      <patternFill patternType="solid">
        <fgColor rgb="FF3D7B75"/>
        <bgColor rgb="FF2E7D46"/>
      </patternFill>
    </fill>
    <fill>
      <patternFill patternType="solid">
        <fgColor rgb="FFF6F4EE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FCABB"/>
      </left>
      <right style="thin">
        <color rgb="FFCFCABB"/>
      </right>
      <top style="thin">
        <color rgb="FFCFCABB"/>
      </top>
      <bottom style="thin">
        <color rgb="FFCFCABB"/>
      </bottom>
      <diagonal/>
    </border>
    <border diagonalUp="false" diagonalDown="false">
      <left style="thin">
        <color rgb="FFCFCABB"/>
      </left>
      <right/>
      <top style="thin">
        <color rgb="FFCFCABB"/>
      </top>
      <bottom style="thin">
        <color rgb="FFCFCABB"/>
      </bottom>
      <diagonal/>
    </border>
    <border diagonalUp="false" diagonalDown="false">
      <left style="thin">
        <color rgb="FFCFCABB"/>
      </left>
      <right style="thin">
        <color rgb="FFCFCABB"/>
      </right>
      <top style="thin">
        <color rgb="FF1F4E4A"/>
      </top>
      <bottom style="thin">
        <color rgb="FFCFCABB"/>
      </bottom>
      <diagonal/>
    </border>
    <border diagonalUp="false" diagonalDown="false">
      <left style="thin">
        <color rgb="FFCFCABB"/>
      </left>
      <right/>
      <top style="thin">
        <color rgb="FF1F4E4A"/>
      </top>
      <bottom style="thin">
        <color rgb="FFCFCA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8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1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1" fillId="6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6" fillId="6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1" fillId="6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游ゴシック"/>
        <charset val="1"/>
        <family val="0"/>
        <b val="1"/>
        <color rgb="FF2E7D46"/>
        <sz val="10"/>
      </font>
    </dxf>
    <dxf>
      <font>
        <name val="游ゴシック"/>
        <charset val="1"/>
        <family val="0"/>
        <b val="1"/>
        <color rgb="FFB4530A"/>
        <sz val="10"/>
      </font>
    </dxf>
    <dxf>
      <font>
        <name val="游ゴシック"/>
        <charset val="1"/>
        <family val="0"/>
        <b val="1"/>
        <color rgb="FFB03A2E"/>
        <sz val="10"/>
      </font>
    </dxf>
    <dxf>
      <font>
        <name val="游ゴシック"/>
        <charset val="1"/>
        <family val="0"/>
        <b val="1"/>
        <color rgb="FFB03A2E"/>
        <sz val="13"/>
      </font>
    </dxf>
    <dxf>
      <font>
        <name val="游ゴシック"/>
        <charset val="1"/>
        <family val="0"/>
        <b val="1"/>
        <color rgb="FF2E7D46"/>
        <sz val="13"/>
      </font>
    </dxf>
    <dxf>
      <font>
        <name val="游ゴシック"/>
        <charset val="1"/>
        <family val="0"/>
        <strike val="1"/>
        <color rgb="FFA6A6A6"/>
        <sz val="10"/>
      </font>
    </dxf>
    <dxf>
      <font>
        <name val="游ゴシック"/>
        <charset val="1"/>
        <family val="0"/>
        <color rgb="FF2E7D46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D7B75"/>
      <rgbColor rgb="FFCFCABB"/>
      <rgbColor rgb="FF808080"/>
      <rgbColor rgb="FFA6A6A6"/>
      <rgbColor rgb="FF7A4A16"/>
      <rgbColor rgb="FFF6F4EE"/>
      <rgbColor rgb="FFDC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BC8"/>
      <rgbColor rgb="FF9FC6B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B5B"/>
      <rgbColor rgb="FF8C8C8C"/>
      <rgbColor rgb="FF1F4E4A"/>
      <rgbColor rgb="FF2E7D46"/>
      <rgbColor rgb="FF003300"/>
      <rgbColor rgb="FF333300"/>
      <rgbColor rgb="FFB03A2E"/>
      <rgbColor rgb="FFB4530A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4A"/>
    <pageSetUpPr fitToPage="true"/>
  </sheetPr>
  <dimension ref="A1:G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</row>
    <row r="5" customFormat="false" ht="21.7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  <c r="G5" s="4"/>
    </row>
    <row r="6" customFormat="false" ht="21.75" hidden="false" customHeight="true" outlineLevel="0" collapsed="false">
      <c r="A6" s="3" t="s">
        <v>6</v>
      </c>
      <c r="B6" s="5" t="n">
        <v>46145</v>
      </c>
      <c r="C6" s="5"/>
      <c r="D6" s="5"/>
      <c r="E6" s="5"/>
      <c r="F6" s="5"/>
      <c r="G6" s="5"/>
    </row>
    <row r="7" customFormat="false" ht="21.75" hidden="false" customHeight="true" outlineLevel="0" collapsed="false">
      <c r="A7" s="3" t="s">
        <v>7</v>
      </c>
      <c r="B7" s="5" t="n">
        <v>46147</v>
      </c>
      <c r="C7" s="5"/>
      <c r="D7" s="5"/>
      <c r="E7" s="5"/>
      <c r="F7" s="5"/>
      <c r="G7" s="5"/>
    </row>
    <row r="8" customFormat="false" ht="21.75" hidden="false" customHeight="true" outlineLevel="0" collapsed="false">
      <c r="A8" s="3" t="s">
        <v>8</v>
      </c>
      <c r="B8" s="6" t="str">
        <f aca="false">IF(AND(B7&lt;&gt;"",B6&lt;&gt;""),(B7-B6)&amp;"泊"&amp;(B7-B6+1)&amp;"日","")</f>
        <v>2泊3日</v>
      </c>
      <c r="C8" s="6"/>
      <c r="D8" s="6"/>
      <c r="E8" s="6"/>
      <c r="F8" s="6"/>
      <c r="G8" s="6"/>
    </row>
    <row r="9" customFormat="false" ht="21.75" hidden="false" customHeight="true" outlineLevel="0" collapsed="false">
      <c r="A9" s="3" t="s">
        <v>9</v>
      </c>
      <c r="B9" s="4" t="s">
        <v>10</v>
      </c>
      <c r="C9" s="4"/>
      <c r="D9" s="4"/>
      <c r="E9" s="4"/>
      <c r="F9" s="4"/>
      <c r="G9" s="4"/>
    </row>
    <row r="10" customFormat="false" ht="21.75" hidden="false" customHeight="true" outlineLevel="0" collapsed="false">
      <c r="A10" s="3" t="s">
        <v>11</v>
      </c>
      <c r="B10" s="4" t="s">
        <v>12</v>
      </c>
      <c r="C10" s="4"/>
      <c r="D10" s="4"/>
      <c r="E10" s="4"/>
      <c r="F10" s="4"/>
      <c r="G10" s="4"/>
    </row>
    <row r="11" customFormat="false" ht="21.75" hidden="false" customHeight="true" outlineLevel="0" collapsed="false">
      <c r="A11" s="3" t="s">
        <v>13</v>
      </c>
      <c r="B11" s="4" t="s">
        <v>14</v>
      </c>
      <c r="C11" s="4"/>
      <c r="D11" s="4"/>
      <c r="E11" s="4"/>
      <c r="F11" s="4"/>
      <c r="G11" s="4"/>
    </row>
    <row r="13" customFormat="false" ht="15" hidden="false" customHeight="false" outlineLevel="0" collapsed="false">
      <c r="A13" s="7" t="s">
        <v>15</v>
      </c>
    </row>
    <row r="14" customFormat="false" ht="15" hidden="false" customHeight="false" outlineLevel="0" collapsed="false">
      <c r="A14" s="8"/>
      <c r="B14" s="9" t="s">
        <v>16</v>
      </c>
      <c r="C14" s="9"/>
      <c r="D14" s="9"/>
      <c r="E14" s="9"/>
      <c r="F14" s="9"/>
      <c r="G14" s="9"/>
    </row>
    <row r="15" customFormat="false" ht="15" hidden="false" customHeight="false" outlineLevel="0" collapsed="false">
      <c r="A15" s="10"/>
      <c r="B15" s="9" t="s">
        <v>17</v>
      </c>
      <c r="C15" s="9"/>
      <c r="D15" s="9"/>
      <c r="E15" s="9"/>
      <c r="F15" s="9"/>
      <c r="G15" s="9"/>
    </row>
  </sheetData>
  <mergeCells count="12">
    <mergeCell ref="A1:G1"/>
    <mergeCell ref="A2:G2"/>
    <mergeCell ref="B4:G4"/>
    <mergeCell ref="B5:G5"/>
    <mergeCell ref="B6:G6"/>
    <mergeCell ref="B7:G7"/>
    <mergeCell ref="B8:G8"/>
    <mergeCell ref="B9:G9"/>
    <mergeCell ref="B10:G10"/>
    <mergeCell ref="B11:G11"/>
    <mergeCell ref="B14:G14"/>
    <mergeCell ref="B15:G1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4A"/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11" t="s">
        <v>19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1" t="s">
        <v>25</v>
      </c>
      <c r="H3" s="11" t="s">
        <v>26</v>
      </c>
    </row>
    <row r="4" customFormat="false" ht="19.5" hidden="false" customHeight="true" outlineLevel="0" collapsed="false">
      <c r="A4" s="12" t="n">
        <v>46145</v>
      </c>
      <c r="B4" s="13" t="n">
        <v>0.375</v>
      </c>
      <c r="C4" s="14" t="s">
        <v>27</v>
      </c>
      <c r="D4" s="14" t="s">
        <v>28</v>
      </c>
      <c r="E4" s="15" t="s">
        <v>29</v>
      </c>
      <c r="F4" s="15" t="s">
        <v>30</v>
      </c>
      <c r="G4" s="16" t="n">
        <v>0</v>
      </c>
      <c r="H4" s="17" t="s">
        <v>31</v>
      </c>
    </row>
    <row r="5" customFormat="false" ht="19.5" hidden="false" customHeight="true" outlineLevel="0" collapsed="false">
      <c r="A5" s="12" t="n">
        <v>46145</v>
      </c>
      <c r="B5" s="13" t="n">
        <v>0.458333333333333</v>
      </c>
      <c r="C5" s="14" t="s">
        <v>32</v>
      </c>
      <c r="D5" s="14" t="s">
        <v>33</v>
      </c>
      <c r="E5" s="15" t="s">
        <v>34</v>
      </c>
      <c r="F5" s="15" t="s">
        <v>30</v>
      </c>
      <c r="G5" s="16" t="n">
        <v>15000</v>
      </c>
      <c r="H5" s="17" t="s">
        <v>35</v>
      </c>
    </row>
    <row r="6" customFormat="false" ht="19.5" hidden="false" customHeight="true" outlineLevel="0" collapsed="false">
      <c r="A6" s="12" t="n">
        <v>46145</v>
      </c>
      <c r="B6" s="13" t="n">
        <v>0.625</v>
      </c>
      <c r="C6" s="14" t="s">
        <v>36</v>
      </c>
      <c r="D6" s="14" t="s">
        <v>37</v>
      </c>
      <c r="E6" s="15" t="s">
        <v>38</v>
      </c>
      <c r="F6" s="15" t="s">
        <v>30</v>
      </c>
      <c r="G6" s="16" t="n">
        <v>0</v>
      </c>
      <c r="H6" s="17"/>
    </row>
    <row r="7" customFormat="false" ht="19.5" hidden="false" customHeight="true" outlineLevel="0" collapsed="false">
      <c r="A7" s="18"/>
      <c r="B7" s="19"/>
      <c r="C7" s="20"/>
      <c r="D7" s="20"/>
      <c r="E7" s="21"/>
      <c r="F7" s="21"/>
      <c r="G7" s="22"/>
      <c r="H7" s="20"/>
    </row>
    <row r="8" customFormat="false" ht="19.5" hidden="false" customHeight="true" outlineLevel="0" collapsed="false">
      <c r="A8" s="23"/>
      <c r="B8" s="24"/>
      <c r="C8" s="25"/>
      <c r="D8" s="25"/>
      <c r="E8" s="26"/>
      <c r="F8" s="26"/>
      <c r="G8" s="27"/>
      <c r="H8" s="25"/>
    </row>
    <row r="9" customFormat="false" ht="19.5" hidden="false" customHeight="true" outlineLevel="0" collapsed="false">
      <c r="A9" s="18"/>
      <c r="B9" s="19"/>
      <c r="C9" s="20"/>
      <c r="D9" s="20"/>
      <c r="E9" s="21"/>
      <c r="F9" s="21"/>
      <c r="G9" s="22"/>
      <c r="H9" s="20"/>
    </row>
    <row r="10" customFormat="false" ht="19.5" hidden="false" customHeight="true" outlineLevel="0" collapsed="false">
      <c r="A10" s="23"/>
      <c r="B10" s="24"/>
      <c r="C10" s="25"/>
      <c r="D10" s="25"/>
      <c r="E10" s="26"/>
      <c r="F10" s="26"/>
      <c r="G10" s="27"/>
      <c r="H10" s="25"/>
    </row>
    <row r="11" customFormat="false" ht="19.5" hidden="false" customHeight="true" outlineLevel="0" collapsed="false">
      <c r="A11" s="18"/>
      <c r="B11" s="19"/>
      <c r="C11" s="20"/>
      <c r="D11" s="20"/>
      <c r="E11" s="21"/>
      <c r="F11" s="21"/>
      <c r="G11" s="22"/>
      <c r="H11" s="20"/>
    </row>
    <row r="12" customFormat="false" ht="19.5" hidden="false" customHeight="true" outlineLevel="0" collapsed="false">
      <c r="A12" s="23"/>
      <c r="B12" s="24"/>
      <c r="C12" s="25"/>
      <c r="D12" s="25"/>
      <c r="E12" s="26"/>
      <c r="F12" s="26"/>
      <c r="G12" s="27"/>
      <c r="H12" s="25"/>
    </row>
    <row r="13" customFormat="false" ht="19.5" hidden="false" customHeight="true" outlineLevel="0" collapsed="false">
      <c r="A13" s="18"/>
      <c r="B13" s="19"/>
      <c r="C13" s="20"/>
      <c r="D13" s="20"/>
      <c r="E13" s="21"/>
      <c r="F13" s="21"/>
      <c r="G13" s="22"/>
      <c r="H13" s="20"/>
    </row>
    <row r="14" customFormat="false" ht="19.5" hidden="false" customHeight="true" outlineLevel="0" collapsed="false">
      <c r="A14" s="23"/>
      <c r="B14" s="24"/>
      <c r="C14" s="25"/>
      <c r="D14" s="25"/>
      <c r="E14" s="26"/>
      <c r="F14" s="26"/>
      <c r="G14" s="27"/>
      <c r="H14" s="25"/>
    </row>
    <row r="15" customFormat="false" ht="19.5" hidden="false" customHeight="true" outlineLevel="0" collapsed="false">
      <c r="A15" s="18"/>
      <c r="B15" s="19"/>
      <c r="C15" s="20"/>
      <c r="D15" s="20"/>
      <c r="E15" s="21"/>
      <c r="F15" s="21"/>
      <c r="G15" s="22"/>
      <c r="H15" s="20"/>
    </row>
    <row r="16" customFormat="false" ht="19.5" hidden="false" customHeight="true" outlineLevel="0" collapsed="false">
      <c r="A16" s="23"/>
      <c r="B16" s="24"/>
      <c r="C16" s="25"/>
      <c r="D16" s="25"/>
      <c r="E16" s="26"/>
      <c r="F16" s="26"/>
      <c r="G16" s="27"/>
      <c r="H16" s="25"/>
    </row>
    <row r="17" customFormat="false" ht="19.5" hidden="false" customHeight="true" outlineLevel="0" collapsed="false">
      <c r="A17" s="18"/>
      <c r="B17" s="19"/>
      <c r="C17" s="20"/>
      <c r="D17" s="20"/>
      <c r="E17" s="21"/>
      <c r="F17" s="21"/>
      <c r="G17" s="22"/>
      <c r="H17" s="20"/>
    </row>
    <row r="18" customFormat="false" ht="19.5" hidden="false" customHeight="true" outlineLevel="0" collapsed="false">
      <c r="A18" s="23"/>
      <c r="B18" s="24"/>
      <c r="C18" s="25"/>
      <c r="D18" s="25"/>
      <c r="E18" s="26"/>
      <c r="F18" s="26"/>
      <c r="G18" s="27"/>
      <c r="H18" s="25"/>
    </row>
    <row r="19" customFormat="false" ht="19.5" hidden="false" customHeight="true" outlineLevel="0" collapsed="false">
      <c r="A19" s="18"/>
      <c r="B19" s="19"/>
      <c r="C19" s="20"/>
      <c r="D19" s="20"/>
      <c r="E19" s="21"/>
      <c r="F19" s="21"/>
      <c r="G19" s="22"/>
      <c r="H19" s="20"/>
    </row>
    <row r="20" customFormat="false" ht="19.5" hidden="false" customHeight="true" outlineLevel="0" collapsed="false">
      <c r="A20" s="23"/>
      <c r="B20" s="24"/>
      <c r="C20" s="25"/>
      <c r="D20" s="25"/>
      <c r="E20" s="26"/>
      <c r="F20" s="26"/>
      <c r="G20" s="27"/>
      <c r="H20" s="25"/>
    </row>
    <row r="21" customFormat="false" ht="19.5" hidden="false" customHeight="true" outlineLevel="0" collapsed="false">
      <c r="A21" s="18"/>
      <c r="B21" s="19"/>
      <c r="C21" s="20"/>
      <c r="D21" s="20"/>
      <c r="E21" s="21"/>
      <c r="F21" s="21"/>
      <c r="G21" s="22"/>
      <c r="H21" s="20"/>
    </row>
    <row r="22" customFormat="false" ht="19.5" hidden="false" customHeight="true" outlineLevel="0" collapsed="false">
      <c r="A22" s="23"/>
      <c r="B22" s="24"/>
      <c r="C22" s="25"/>
      <c r="D22" s="25"/>
      <c r="E22" s="26"/>
      <c r="F22" s="26"/>
      <c r="G22" s="27"/>
      <c r="H22" s="25"/>
    </row>
    <row r="23" customFormat="false" ht="19.5" hidden="false" customHeight="true" outlineLevel="0" collapsed="false">
      <c r="A23" s="18"/>
      <c r="B23" s="19"/>
      <c r="C23" s="20"/>
      <c r="D23" s="20"/>
      <c r="E23" s="21"/>
      <c r="F23" s="21"/>
      <c r="G23" s="22"/>
      <c r="H23" s="20"/>
    </row>
    <row r="24" customFormat="false" ht="19.5" hidden="false" customHeight="true" outlineLevel="0" collapsed="false">
      <c r="A24" s="23"/>
      <c r="B24" s="24"/>
      <c r="C24" s="25"/>
      <c r="D24" s="25"/>
      <c r="E24" s="26"/>
      <c r="F24" s="26"/>
      <c r="G24" s="27"/>
      <c r="H24" s="25"/>
    </row>
    <row r="25" customFormat="false" ht="19.5" hidden="false" customHeight="true" outlineLevel="0" collapsed="false">
      <c r="A25" s="18"/>
      <c r="B25" s="19"/>
      <c r="C25" s="20"/>
      <c r="D25" s="20"/>
      <c r="E25" s="21"/>
      <c r="F25" s="21"/>
      <c r="G25" s="22"/>
      <c r="H25" s="20"/>
    </row>
    <row r="26" customFormat="false" ht="19.5" hidden="false" customHeight="true" outlineLevel="0" collapsed="false">
      <c r="A26" s="23"/>
      <c r="B26" s="24"/>
      <c r="C26" s="25"/>
      <c r="D26" s="25"/>
      <c r="E26" s="26"/>
      <c r="F26" s="26"/>
      <c r="G26" s="27"/>
      <c r="H26" s="25"/>
    </row>
    <row r="27" customFormat="false" ht="19.5" hidden="false" customHeight="true" outlineLevel="0" collapsed="false">
      <c r="A27" s="18"/>
      <c r="B27" s="19"/>
      <c r="C27" s="20"/>
      <c r="D27" s="20"/>
      <c r="E27" s="21"/>
      <c r="F27" s="21"/>
      <c r="G27" s="22"/>
      <c r="H27" s="20"/>
    </row>
    <row r="28" customFormat="false" ht="19.5" hidden="false" customHeight="true" outlineLevel="0" collapsed="false">
      <c r="A28" s="23"/>
      <c r="B28" s="24"/>
      <c r="C28" s="25"/>
      <c r="D28" s="25"/>
      <c r="E28" s="26"/>
      <c r="F28" s="26"/>
      <c r="G28" s="27"/>
      <c r="H28" s="25"/>
    </row>
    <row r="29" customFormat="false" ht="15" hidden="false" customHeight="false" outlineLevel="0" collapsed="false">
      <c r="A29" s="28"/>
      <c r="B29" s="28"/>
      <c r="C29" s="28"/>
      <c r="D29" s="28"/>
      <c r="E29" s="29" t="s">
        <v>39</v>
      </c>
      <c r="F29" s="29"/>
      <c r="G29" s="30" t="n">
        <f aca="false">SUM(G4:G28)</f>
        <v>15000</v>
      </c>
      <c r="H29" s="28"/>
    </row>
  </sheetData>
  <mergeCells count="3">
    <mergeCell ref="A1:H1"/>
    <mergeCell ref="A2:H2"/>
    <mergeCell ref="E29:F29"/>
  </mergeCells>
  <conditionalFormatting sqref="F4:F28">
    <cfRule type="cellIs" priority="2" operator="equal" aboveAverage="0" equalAverage="0" bottom="0" percent="0" rank="0" text="" dxfId="0">
      <formula>"済"</formula>
    </cfRule>
    <cfRule type="cellIs" priority="3" operator="equal" aboveAverage="0" equalAverage="0" bottom="0" percent="0" rank="0" text="" dxfId="1">
      <formula>"未定"</formula>
    </cfRule>
  </conditionalFormatting>
  <dataValidations count="1">
    <dataValidation allowBlank="true" errorStyle="stop" operator="between" showDropDown="false" showErrorMessage="false" showInputMessage="false" sqref="F4:F28" type="list">
      <formula1>"済,未定,不要"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4A"/>
    <pageSetUpPr fitToPage="tru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20"/>
  </cols>
  <sheetData>
    <row r="1" customFormat="false" ht="30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11" t="s">
        <v>41</v>
      </c>
      <c r="B3" s="11" t="s">
        <v>42</v>
      </c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31" t="s">
        <v>48</v>
      </c>
      <c r="I3" s="11" t="s">
        <v>26</v>
      </c>
    </row>
    <row r="4" customFormat="false" ht="19.5" hidden="false" customHeight="true" outlineLevel="0" collapsed="false">
      <c r="A4" s="15" t="s">
        <v>49</v>
      </c>
      <c r="B4" s="17" t="s">
        <v>50</v>
      </c>
      <c r="C4" s="32" t="n">
        <v>46082.4166666667</v>
      </c>
      <c r="D4" s="33" t="s">
        <v>51</v>
      </c>
      <c r="E4" s="16" t="n">
        <v>45000</v>
      </c>
      <c r="F4" s="15" t="s">
        <v>30</v>
      </c>
      <c r="G4" s="17" t="s">
        <v>52</v>
      </c>
      <c r="H4" s="17" t="s">
        <v>53</v>
      </c>
      <c r="I4" s="14" t="s">
        <v>54</v>
      </c>
    </row>
    <row r="5" customFormat="false" ht="19.5" hidden="false" customHeight="true" outlineLevel="0" collapsed="false">
      <c r="A5" s="15" t="s">
        <v>55</v>
      </c>
      <c r="B5" s="14" t="s">
        <v>56</v>
      </c>
      <c r="C5" s="32" t="n">
        <v>46082.5</v>
      </c>
      <c r="D5" s="33" t="s">
        <v>57</v>
      </c>
      <c r="E5" s="16" t="n">
        <v>68000</v>
      </c>
      <c r="F5" s="15" t="s">
        <v>58</v>
      </c>
      <c r="G5" s="17" t="s">
        <v>59</v>
      </c>
      <c r="H5" s="17" t="s">
        <v>60</v>
      </c>
      <c r="I5" s="17" t="s">
        <v>61</v>
      </c>
    </row>
    <row r="6" customFormat="false" ht="19.5" hidden="false" customHeight="true" outlineLevel="0" collapsed="false">
      <c r="A6" s="15" t="s">
        <v>38</v>
      </c>
      <c r="B6" s="14" t="s">
        <v>62</v>
      </c>
      <c r="C6" s="32" t="n">
        <v>46086.375</v>
      </c>
      <c r="D6" s="33" t="s">
        <v>63</v>
      </c>
      <c r="E6" s="16" t="n">
        <v>12000</v>
      </c>
      <c r="F6" s="15" t="s">
        <v>58</v>
      </c>
      <c r="G6" s="17" t="s">
        <v>64</v>
      </c>
      <c r="H6" s="17" t="s">
        <v>65</v>
      </c>
      <c r="I6" s="14" t="s">
        <v>66</v>
      </c>
    </row>
    <row r="7" customFormat="false" ht="19.5" hidden="false" customHeight="true" outlineLevel="0" collapsed="false">
      <c r="A7" s="21"/>
      <c r="B7" s="20"/>
      <c r="C7" s="34"/>
      <c r="D7" s="21"/>
      <c r="E7" s="22"/>
      <c r="F7" s="21"/>
      <c r="G7" s="20"/>
      <c r="H7" s="20"/>
      <c r="I7" s="20"/>
    </row>
    <row r="8" customFormat="false" ht="19.5" hidden="false" customHeight="true" outlineLevel="0" collapsed="false">
      <c r="A8" s="26"/>
      <c r="B8" s="25"/>
      <c r="C8" s="35"/>
      <c r="D8" s="26"/>
      <c r="E8" s="27"/>
      <c r="F8" s="26"/>
      <c r="G8" s="25"/>
      <c r="H8" s="25"/>
      <c r="I8" s="25"/>
    </row>
    <row r="9" customFormat="false" ht="19.5" hidden="false" customHeight="true" outlineLevel="0" collapsed="false">
      <c r="A9" s="21"/>
      <c r="B9" s="20"/>
      <c r="C9" s="34"/>
      <c r="D9" s="21"/>
      <c r="E9" s="22"/>
      <c r="F9" s="21"/>
      <c r="G9" s="20"/>
      <c r="H9" s="20"/>
      <c r="I9" s="20"/>
    </row>
    <row r="10" customFormat="false" ht="19.5" hidden="false" customHeight="true" outlineLevel="0" collapsed="false">
      <c r="A10" s="26"/>
      <c r="B10" s="25"/>
      <c r="C10" s="35"/>
      <c r="D10" s="26"/>
      <c r="E10" s="27"/>
      <c r="F10" s="26"/>
      <c r="G10" s="25"/>
      <c r="H10" s="25"/>
      <c r="I10" s="25"/>
    </row>
    <row r="11" customFormat="false" ht="19.5" hidden="false" customHeight="true" outlineLevel="0" collapsed="false">
      <c r="A11" s="21"/>
      <c r="B11" s="20"/>
      <c r="C11" s="34"/>
      <c r="D11" s="21"/>
      <c r="E11" s="22"/>
      <c r="F11" s="21"/>
      <c r="G11" s="20"/>
      <c r="H11" s="20"/>
      <c r="I11" s="20"/>
    </row>
    <row r="12" customFormat="false" ht="19.5" hidden="false" customHeight="true" outlineLevel="0" collapsed="false">
      <c r="A12" s="26"/>
      <c r="B12" s="25"/>
      <c r="C12" s="35"/>
      <c r="D12" s="26"/>
      <c r="E12" s="27"/>
      <c r="F12" s="26"/>
      <c r="G12" s="25"/>
      <c r="H12" s="25"/>
      <c r="I12" s="25"/>
    </row>
    <row r="13" customFormat="false" ht="19.5" hidden="false" customHeight="true" outlineLevel="0" collapsed="false">
      <c r="A13" s="21"/>
      <c r="B13" s="20"/>
      <c r="C13" s="34"/>
      <c r="D13" s="21"/>
      <c r="E13" s="22"/>
      <c r="F13" s="21"/>
      <c r="G13" s="20"/>
      <c r="H13" s="20"/>
      <c r="I13" s="20"/>
    </row>
    <row r="14" customFormat="false" ht="19.5" hidden="false" customHeight="true" outlineLevel="0" collapsed="false">
      <c r="A14" s="26"/>
      <c r="B14" s="25"/>
      <c r="C14" s="35"/>
      <c r="D14" s="26"/>
      <c r="E14" s="27"/>
      <c r="F14" s="26"/>
      <c r="G14" s="25"/>
      <c r="H14" s="25"/>
      <c r="I14" s="25"/>
    </row>
    <row r="15" customFormat="false" ht="19.5" hidden="false" customHeight="true" outlineLevel="0" collapsed="false">
      <c r="A15" s="21"/>
      <c r="B15" s="20"/>
      <c r="C15" s="34"/>
      <c r="D15" s="21"/>
      <c r="E15" s="22"/>
      <c r="F15" s="21"/>
      <c r="G15" s="20"/>
      <c r="H15" s="20"/>
      <c r="I15" s="20"/>
    </row>
    <row r="16" customFormat="false" ht="19.5" hidden="false" customHeight="true" outlineLevel="0" collapsed="false">
      <c r="A16" s="26"/>
      <c r="B16" s="25"/>
      <c r="C16" s="35"/>
      <c r="D16" s="26"/>
      <c r="E16" s="27"/>
      <c r="F16" s="26"/>
      <c r="G16" s="25"/>
      <c r="H16" s="25"/>
      <c r="I16" s="25"/>
    </row>
    <row r="17" customFormat="false" ht="19.5" hidden="false" customHeight="true" outlineLevel="0" collapsed="false">
      <c r="A17" s="21"/>
      <c r="B17" s="20"/>
      <c r="C17" s="34"/>
      <c r="D17" s="21"/>
      <c r="E17" s="22"/>
      <c r="F17" s="21"/>
      <c r="G17" s="20"/>
      <c r="H17" s="20"/>
      <c r="I17" s="20"/>
    </row>
    <row r="18" customFormat="false" ht="19.5" hidden="false" customHeight="true" outlineLevel="0" collapsed="false">
      <c r="A18" s="26"/>
      <c r="B18" s="25"/>
      <c r="C18" s="35"/>
      <c r="D18" s="26"/>
      <c r="E18" s="27"/>
      <c r="F18" s="26"/>
      <c r="G18" s="25"/>
      <c r="H18" s="25"/>
      <c r="I18" s="25"/>
    </row>
    <row r="19" customFormat="false" ht="19.5" hidden="false" customHeight="true" outlineLevel="0" collapsed="false">
      <c r="A19" s="21"/>
      <c r="B19" s="20"/>
      <c r="C19" s="34"/>
      <c r="D19" s="21"/>
      <c r="E19" s="22"/>
      <c r="F19" s="21"/>
      <c r="G19" s="20"/>
      <c r="H19" s="20"/>
      <c r="I19" s="20"/>
    </row>
    <row r="20" customFormat="false" ht="19.5" hidden="false" customHeight="true" outlineLevel="0" collapsed="false">
      <c r="A20" s="26"/>
      <c r="B20" s="25"/>
      <c r="C20" s="35"/>
      <c r="D20" s="26"/>
      <c r="E20" s="27"/>
      <c r="F20" s="26"/>
      <c r="G20" s="25"/>
      <c r="H20" s="25"/>
      <c r="I20" s="25"/>
    </row>
    <row r="21" customFormat="false" ht="19.5" hidden="false" customHeight="true" outlineLevel="0" collapsed="false">
      <c r="A21" s="21"/>
      <c r="B21" s="20"/>
      <c r="C21" s="34"/>
      <c r="D21" s="21"/>
      <c r="E21" s="22"/>
      <c r="F21" s="21"/>
      <c r="G21" s="20"/>
      <c r="H21" s="20"/>
      <c r="I21" s="20"/>
    </row>
    <row r="22" customFormat="false" ht="19.5" hidden="false" customHeight="true" outlineLevel="0" collapsed="false">
      <c r="A22" s="26"/>
      <c r="B22" s="25"/>
      <c r="C22" s="35"/>
      <c r="D22" s="26"/>
      <c r="E22" s="27"/>
      <c r="F22" s="26"/>
      <c r="G22" s="25"/>
      <c r="H22" s="25"/>
      <c r="I22" s="25"/>
    </row>
    <row r="23" customFormat="false" ht="19.5" hidden="false" customHeight="true" outlineLevel="0" collapsed="false">
      <c r="A23" s="21"/>
      <c r="B23" s="20"/>
      <c r="C23" s="34"/>
      <c r="D23" s="21"/>
      <c r="E23" s="22"/>
      <c r="F23" s="21"/>
      <c r="G23" s="20"/>
      <c r="H23" s="20"/>
      <c r="I23" s="20"/>
    </row>
    <row r="24" customFormat="false" ht="15" hidden="false" customHeight="false" outlineLevel="0" collapsed="false">
      <c r="A24" s="28"/>
      <c r="B24" s="28"/>
      <c r="C24" s="29" t="s">
        <v>67</v>
      </c>
      <c r="D24" s="29"/>
      <c r="E24" s="30" t="n">
        <f aca="false">SUM(E4:E23)</f>
        <v>125000</v>
      </c>
      <c r="F24" s="28"/>
      <c r="G24" s="28"/>
      <c r="H24" s="28"/>
      <c r="I24" s="28"/>
    </row>
  </sheetData>
  <mergeCells count="3">
    <mergeCell ref="A1:I1"/>
    <mergeCell ref="A2:I2"/>
    <mergeCell ref="C24:D24"/>
  </mergeCells>
  <conditionalFormatting sqref="F4:F23">
    <cfRule type="cellIs" priority="2" operator="equal" aboveAverage="0" equalAverage="0" bottom="0" percent="0" rank="0" text="" dxfId="0">
      <formula>"済"</formula>
    </cfRule>
    <cfRule type="cellIs" priority="3" operator="equal" aboveAverage="0" equalAverage="0" bottom="0" percent="0" rank="0" text="" dxfId="2">
      <formula>"未払い"</formula>
    </cfRule>
  </conditionalFormatting>
  <dataValidations count="2">
    <dataValidation allowBlank="true" errorStyle="stop" operator="between" showDropDown="false" showErrorMessage="false" showInputMessage="false" sqref="A4:A23" type="list">
      <formula1>"交通,宿泊,レンタカー,アクティビティ,レストラン,保険,その他"</formula1>
      <formula2>0</formula2>
    </dataValidation>
    <dataValidation allowBlank="true" errorStyle="stop" operator="between" showDropDown="false" showErrorMessage="false" showInputMessage="false" sqref="F4:F23" type="list">
      <formula1>"済,未払い"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4A"/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3"/>
    <col collapsed="false" customWidth="true" hidden="false" outlineLevel="0" max="6" min="6" style="0" width="14"/>
    <col collapsed="false" customWidth="true" hidden="false" outlineLevel="0" max="8" min="7" style="0" width="13"/>
  </cols>
  <sheetData>
    <row r="1" customFormat="false" ht="30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11" t="s">
        <v>69</v>
      </c>
      <c r="B3" s="11" t="s">
        <v>70</v>
      </c>
      <c r="C3" s="11" t="s">
        <v>71</v>
      </c>
      <c r="D3" s="11" t="s">
        <v>72</v>
      </c>
      <c r="F3" s="36" t="s">
        <v>73</v>
      </c>
      <c r="G3" s="36"/>
      <c r="H3" s="36"/>
    </row>
    <row r="4" customFormat="false" ht="21.75" hidden="false" customHeight="true" outlineLevel="0" collapsed="false">
      <c r="A4" s="37" t="s">
        <v>74</v>
      </c>
      <c r="B4" s="16" t="n">
        <v>40000</v>
      </c>
      <c r="C4" s="16" t="n">
        <v>45000</v>
      </c>
      <c r="D4" s="38" t="n">
        <f aca="false">B4-C4</f>
        <v>-5000</v>
      </c>
      <c r="F4" s="3" t="s">
        <v>75</v>
      </c>
      <c r="G4" s="39" t="n">
        <f aca="false">B10</f>
        <v>108000</v>
      </c>
      <c r="H4" s="39"/>
    </row>
    <row r="5" customFormat="false" ht="21.75" hidden="false" customHeight="true" outlineLevel="0" collapsed="false">
      <c r="A5" s="37" t="s">
        <v>76</v>
      </c>
      <c r="B5" s="16" t="n">
        <v>68000</v>
      </c>
      <c r="C5" s="16" t="n">
        <v>68000</v>
      </c>
      <c r="D5" s="38" t="n">
        <f aca="false">B5-C5</f>
        <v>0</v>
      </c>
      <c r="F5" s="3" t="s">
        <v>77</v>
      </c>
      <c r="G5" s="39" t="n">
        <f aca="false">C10</f>
        <v>113000</v>
      </c>
      <c r="H5" s="39"/>
    </row>
    <row r="6" customFormat="false" ht="25.5" hidden="false" customHeight="true" outlineLevel="0" collapsed="false">
      <c r="A6" s="37" t="s">
        <v>78</v>
      </c>
      <c r="B6" s="27"/>
      <c r="C6" s="27"/>
      <c r="D6" s="38" t="n">
        <f aca="false">B6-C6</f>
        <v>0</v>
      </c>
      <c r="F6" s="3" t="s">
        <v>79</v>
      </c>
      <c r="G6" s="40" t="n">
        <f aca="false">B10-C10</f>
        <v>-5000</v>
      </c>
      <c r="H6" s="40"/>
    </row>
    <row r="7" customFormat="false" ht="21.75" hidden="false" customHeight="true" outlineLevel="0" collapsed="false">
      <c r="A7" s="37" t="s">
        <v>80</v>
      </c>
      <c r="B7" s="27"/>
      <c r="C7" s="27"/>
      <c r="D7" s="38" t="n">
        <f aca="false">B7-C7</f>
        <v>0</v>
      </c>
      <c r="F7" s="3" t="s">
        <v>81</v>
      </c>
      <c r="G7" s="41" t="n">
        <f aca="false">IFERROR(C10/B10,0)</f>
        <v>1.0462962962963</v>
      </c>
      <c r="H7" s="41"/>
    </row>
    <row r="8" customFormat="false" ht="19.5" hidden="false" customHeight="true" outlineLevel="0" collapsed="false">
      <c r="A8" s="37" t="s">
        <v>82</v>
      </c>
      <c r="B8" s="27"/>
      <c r="C8" s="27"/>
      <c r="D8" s="38" t="n">
        <f aca="false">B8-C8</f>
        <v>0</v>
      </c>
    </row>
    <row r="9" customFormat="false" ht="19.5" hidden="false" customHeight="true" outlineLevel="0" collapsed="false">
      <c r="A9" s="37" t="s">
        <v>83</v>
      </c>
      <c r="B9" s="27"/>
      <c r="C9" s="27"/>
      <c r="D9" s="38" t="n">
        <f aca="false">B9-C9</f>
        <v>0</v>
      </c>
    </row>
    <row r="10" customFormat="false" ht="15" hidden="false" customHeight="false" outlineLevel="0" collapsed="false">
      <c r="A10" s="42" t="s">
        <v>84</v>
      </c>
      <c r="B10" s="30" t="n">
        <f aca="false">SUM(B4:B9)</f>
        <v>108000</v>
      </c>
      <c r="C10" s="30" t="n">
        <f aca="false">SUM(C4:C9)</f>
        <v>113000</v>
      </c>
      <c r="D10" s="30" t="n">
        <f aca="false">B10-C10</f>
        <v>-5000</v>
      </c>
    </row>
    <row r="12" customFormat="false" ht="15" hidden="false" customHeight="false" outlineLevel="0" collapsed="false">
      <c r="A12" s="43" t="s">
        <v>85</v>
      </c>
      <c r="B12" s="43"/>
      <c r="C12" s="43"/>
      <c r="D12" s="43"/>
    </row>
  </sheetData>
  <mergeCells count="8">
    <mergeCell ref="A1:H1"/>
    <mergeCell ref="A2:H2"/>
    <mergeCell ref="F3:H3"/>
    <mergeCell ref="G4:H4"/>
    <mergeCell ref="G5:H5"/>
    <mergeCell ref="G6:H6"/>
    <mergeCell ref="G7:H7"/>
    <mergeCell ref="A12:D12"/>
  </mergeCells>
  <conditionalFormatting sqref="G6:H6">
    <cfRule type="expression" priority="2" aboveAverage="0" equalAverage="0" bottom="0" percent="0" rank="0" text="" dxfId="3">
      <formula>G6&lt;0</formula>
    </cfRule>
    <cfRule type="expression" priority="3" aboveAverage="0" equalAverage="0" bottom="0" percent="0" rank="0" text="" dxfId="4">
      <formula>G6&gt;=0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4A"/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6"/>
  </cols>
  <sheetData>
    <row r="1" customFormat="false" ht="30" hidden="false" customHeight="true" outlineLevel="0" collapsed="false">
      <c r="A1" s="1" t="s">
        <v>86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11" t="s">
        <v>41</v>
      </c>
      <c r="B3" s="11" t="s">
        <v>87</v>
      </c>
      <c r="C3" s="11" t="s">
        <v>88</v>
      </c>
      <c r="D3" s="11" t="s">
        <v>89</v>
      </c>
      <c r="E3" s="11" t="s">
        <v>26</v>
      </c>
    </row>
    <row r="4" customFormat="false" ht="19.5" hidden="false" customHeight="true" outlineLevel="0" collapsed="false">
      <c r="A4" s="15" t="s">
        <v>90</v>
      </c>
      <c r="B4" s="14" t="s">
        <v>91</v>
      </c>
      <c r="C4" s="33" t="n">
        <v>3</v>
      </c>
      <c r="D4" s="33" t="s">
        <v>92</v>
      </c>
      <c r="E4" s="14" t="s">
        <v>93</v>
      </c>
    </row>
    <row r="5" customFormat="false" ht="19.5" hidden="false" customHeight="true" outlineLevel="0" collapsed="false">
      <c r="A5" s="15" t="s">
        <v>94</v>
      </c>
      <c r="B5" s="14" t="s">
        <v>95</v>
      </c>
      <c r="C5" s="33" t="n">
        <v>4</v>
      </c>
      <c r="D5" s="33" t="s">
        <v>92</v>
      </c>
      <c r="E5" s="17"/>
    </row>
    <row r="6" customFormat="false" ht="19.5" hidden="false" customHeight="true" outlineLevel="0" collapsed="false">
      <c r="A6" s="15" t="s">
        <v>96</v>
      </c>
      <c r="B6" s="14" t="s">
        <v>97</v>
      </c>
      <c r="C6" s="33" t="n">
        <v>2</v>
      </c>
      <c r="D6" s="15" t="s">
        <v>98</v>
      </c>
      <c r="E6" s="14" t="s">
        <v>99</v>
      </c>
    </row>
    <row r="7" customFormat="false" ht="19.5" hidden="false" customHeight="true" outlineLevel="0" collapsed="false">
      <c r="A7" s="15" t="s">
        <v>100</v>
      </c>
      <c r="B7" s="14" t="s">
        <v>101</v>
      </c>
      <c r="C7" s="33" t="n">
        <v>4</v>
      </c>
      <c r="D7" s="15" t="s">
        <v>98</v>
      </c>
      <c r="E7" s="14" t="s">
        <v>102</v>
      </c>
    </row>
    <row r="8" customFormat="false" ht="19.5" hidden="false" customHeight="true" outlineLevel="0" collapsed="false">
      <c r="A8" s="15" t="s">
        <v>83</v>
      </c>
      <c r="B8" s="14" t="s">
        <v>103</v>
      </c>
      <c r="C8" s="33" t="n">
        <v>1</v>
      </c>
      <c r="D8" s="15" t="s">
        <v>98</v>
      </c>
      <c r="E8" s="17"/>
    </row>
    <row r="9" customFormat="false" ht="19.5" hidden="false" customHeight="true" outlineLevel="0" collapsed="false">
      <c r="A9" s="21"/>
      <c r="B9" s="20"/>
      <c r="C9" s="21"/>
      <c r="D9" s="21"/>
      <c r="E9" s="20"/>
    </row>
    <row r="10" customFormat="false" ht="19.5" hidden="false" customHeight="true" outlineLevel="0" collapsed="false">
      <c r="A10" s="26"/>
      <c r="B10" s="25"/>
      <c r="C10" s="26"/>
      <c r="D10" s="26"/>
      <c r="E10" s="25"/>
    </row>
    <row r="11" customFormat="false" ht="19.5" hidden="false" customHeight="true" outlineLevel="0" collapsed="false">
      <c r="A11" s="21"/>
      <c r="B11" s="20"/>
      <c r="C11" s="21"/>
      <c r="D11" s="21"/>
      <c r="E11" s="20"/>
    </row>
    <row r="12" customFormat="false" ht="19.5" hidden="false" customHeight="true" outlineLevel="0" collapsed="false">
      <c r="A12" s="26"/>
      <c r="B12" s="25"/>
      <c r="C12" s="26"/>
      <c r="D12" s="26"/>
      <c r="E12" s="25"/>
    </row>
    <row r="13" customFormat="false" ht="19.5" hidden="false" customHeight="true" outlineLevel="0" collapsed="false">
      <c r="A13" s="21"/>
      <c r="B13" s="20"/>
      <c r="C13" s="21"/>
      <c r="D13" s="21"/>
      <c r="E13" s="20"/>
    </row>
    <row r="14" customFormat="false" ht="19.5" hidden="false" customHeight="true" outlineLevel="0" collapsed="false">
      <c r="A14" s="26"/>
      <c r="B14" s="25"/>
      <c r="C14" s="26"/>
      <c r="D14" s="26"/>
      <c r="E14" s="25"/>
    </row>
    <row r="15" customFormat="false" ht="19.5" hidden="false" customHeight="true" outlineLevel="0" collapsed="false">
      <c r="A15" s="21"/>
      <c r="B15" s="20"/>
      <c r="C15" s="21"/>
      <c r="D15" s="21"/>
      <c r="E15" s="20"/>
    </row>
    <row r="16" customFormat="false" ht="19.5" hidden="false" customHeight="true" outlineLevel="0" collapsed="false">
      <c r="A16" s="26"/>
      <c r="B16" s="25"/>
      <c r="C16" s="26"/>
      <c r="D16" s="26"/>
      <c r="E16" s="25"/>
    </row>
    <row r="17" customFormat="false" ht="19.5" hidden="false" customHeight="true" outlineLevel="0" collapsed="false">
      <c r="A17" s="21"/>
      <c r="B17" s="20"/>
      <c r="C17" s="21"/>
      <c r="D17" s="21"/>
      <c r="E17" s="20"/>
    </row>
    <row r="18" customFormat="false" ht="19.5" hidden="false" customHeight="true" outlineLevel="0" collapsed="false">
      <c r="A18" s="26"/>
      <c r="B18" s="25"/>
      <c r="C18" s="26"/>
      <c r="D18" s="26"/>
      <c r="E18" s="25"/>
    </row>
    <row r="19" customFormat="false" ht="19.5" hidden="false" customHeight="true" outlineLevel="0" collapsed="false">
      <c r="A19" s="21"/>
      <c r="B19" s="20"/>
      <c r="C19" s="21"/>
      <c r="D19" s="21"/>
      <c r="E19" s="20"/>
    </row>
    <row r="20" customFormat="false" ht="19.5" hidden="false" customHeight="true" outlineLevel="0" collapsed="false">
      <c r="A20" s="26"/>
      <c r="B20" s="25"/>
      <c r="C20" s="26"/>
      <c r="D20" s="26"/>
      <c r="E20" s="25"/>
    </row>
    <row r="21" customFormat="false" ht="19.5" hidden="false" customHeight="true" outlineLevel="0" collapsed="false">
      <c r="A21" s="21"/>
      <c r="B21" s="20"/>
      <c r="C21" s="21"/>
      <c r="D21" s="21"/>
      <c r="E21" s="20"/>
    </row>
    <row r="22" customFormat="false" ht="19.5" hidden="false" customHeight="true" outlineLevel="0" collapsed="false">
      <c r="A22" s="26"/>
      <c r="B22" s="25"/>
      <c r="C22" s="26"/>
      <c r="D22" s="26"/>
      <c r="E22" s="25"/>
    </row>
    <row r="23" customFormat="false" ht="19.5" hidden="false" customHeight="true" outlineLevel="0" collapsed="false">
      <c r="A23" s="21"/>
      <c r="B23" s="20"/>
      <c r="C23" s="21"/>
      <c r="D23" s="21"/>
      <c r="E23" s="20"/>
    </row>
    <row r="24" customFormat="false" ht="19.5" hidden="false" customHeight="true" outlineLevel="0" collapsed="false">
      <c r="A24" s="26"/>
      <c r="B24" s="25"/>
      <c r="C24" s="26"/>
      <c r="D24" s="26"/>
      <c r="E24" s="25"/>
    </row>
    <row r="25" customFormat="false" ht="19.5" hidden="false" customHeight="true" outlineLevel="0" collapsed="false">
      <c r="A25" s="21"/>
      <c r="B25" s="20"/>
      <c r="C25" s="21"/>
      <c r="D25" s="21"/>
      <c r="E25" s="20"/>
    </row>
    <row r="26" customFormat="false" ht="19.5" hidden="false" customHeight="true" outlineLevel="0" collapsed="false">
      <c r="A26" s="26"/>
      <c r="B26" s="25"/>
      <c r="C26" s="26"/>
      <c r="D26" s="26"/>
      <c r="E26" s="25"/>
    </row>
    <row r="27" customFormat="false" ht="19.5" hidden="false" customHeight="true" outlineLevel="0" collapsed="false">
      <c r="A27" s="21"/>
      <c r="B27" s="20"/>
      <c r="C27" s="21"/>
      <c r="D27" s="21"/>
      <c r="E27" s="20"/>
    </row>
    <row r="28" customFormat="false" ht="19.5" hidden="false" customHeight="true" outlineLevel="0" collapsed="false">
      <c r="A28" s="26"/>
      <c r="B28" s="25"/>
      <c r="C28" s="26"/>
      <c r="D28" s="26"/>
      <c r="E28" s="25"/>
    </row>
    <row r="30" customFormat="false" ht="21.75" hidden="false" customHeight="true" outlineLevel="0" collapsed="false">
      <c r="A30" s="44" t="s">
        <v>104</v>
      </c>
      <c r="B30" s="44"/>
      <c r="C30" s="45" t="n">
        <f aca="false">COUNTA(B4:B28)</f>
        <v>5</v>
      </c>
      <c r="D30" s="45" t="n">
        <f aca="false">COUNTIF(D4:D28,"✓")</f>
        <v>2</v>
      </c>
      <c r="E30" s="46" t="n">
        <f aca="false">IFERROR(D30/C30,0)</f>
        <v>0.4</v>
      </c>
    </row>
    <row r="31" customFormat="false" ht="15" hidden="false" customHeight="false" outlineLevel="0" collapsed="false">
      <c r="A31" s="43" t="s">
        <v>105</v>
      </c>
      <c r="B31" s="43"/>
      <c r="C31" s="43"/>
      <c r="D31" s="43"/>
      <c r="E31" s="43"/>
    </row>
  </sheetData>
  <mergeCells count="4">
    <mergeCell ref="A1:E1"/>
    <mergeCell ref="A2:E2"/>
    <mergeCell ref="A30:B30"/>
    <mergeCell ref="A31:E31"/>
  </mergeCells>
  <conditionalFormatting sqref="D4:D28">
    <cfRule type="cellIs" priority="2" operator="equal" aboveAverage="0" equalAverage="0" bottom="0" percent="0" rank="0" text="" dxfId="0">
      <formula>"✓"</formula>
    </cfRule>
  </conditionalFormatting>
  <conditionalFormatting sqref="B4:B28">
    <cfRule type="expression" priority="3" aboveAverage="0" equalAverage="0" bottom="0" percent="0" rank="0" text="" dxfId="5">
      <formula>$D4="✓"</formula>
    </cfRule>
  </conditionalFormatting>
  <dataValidations count="1">
    <dataValidation allowBlank="true" errorStyle="stop" operator="between" showDropDown="false" showErrorMessage="false" showInputMessage="false" sqref="D4:D28" type="list">
      <formula1>"✓,未"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4A"/>
    <pageSetUpPr fitToPage="tru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11" t="s">
        <v>107</v>
      </c>
      <c r="B3" s="11" t="s">
        <v>41</v>
      </c>
      <c r="C3" s="11" t="s">
        <v>108</v>
      </c>
      <c r="D3" s="11" t="s">
        <v>109</v>
      </c>
      <c r="E3" s="11" t="s">
        <v>110</v>
      </c>
      <c r="F3" s="31" t="s">
        <v>48</v>
      </c>
      <c r="G3" s="11" t="s">
        <v>26</v>
      </c>
    </row>
    <row r="4" customFormat="false" ht="19.5" hidden="false" customHeight="true" outlineLevel="0" collapsed="false">
      <c r="A4" s="14" t="s">
        <v>111</v>
      </c>
      <c r="B4" s="15" t="s">
        <v>112</v>
      </c>
      <c r="C4" s="15" t="s">
        <v>113</v>
      </c>
      <c r="D4" s="15" t="s">
        <v>114</v>
      </c>
      <c r="E4" s="33" t="s">
        <v>115</v>
      </c>
      <c r="F4" s="17" t="s">
        <v>116</v>
      </c>
      <c r="G4" s="14" t="s">
        <v>117</v>
      </c>
    </row>
    <row r="5" customFormat="false" ht="19.5" hidden="false" customHeight="true" outlineLevel="0" collapsed="false">
      <c r="A5" s="14" t="s">
        <v>118</v>
      </c>
      <c r="B5" s="15" t="s">
        <v>119</v>
      </c>
      <c r="C5" s="15" t="s">
        <v>113</v>
      </c>
      <c r="D5" s="15" t="s">
        <v>120</v>
      </c>
      <c r="E5" s="33" t="s">
        <v>121</v>
      </c>
      <c r="F5" s="17"/>
      <c r="G5" s="14" t="s">
        <v>122</v>
      </c>
    </row>
    <row r="6" customFormat="false" ht="19.5" hidden="false" customHeight="true" outlineLevel="0" collapsed="false">
      <c r="A6" s="14" t="s">
        <v>123</v>
      </c>
      <c r="B6" s="15" t="s">
        <v>124</v>
      </c>
      <c r="C6" s="15" t="s">
        <v>125</v>
      </c>
      <c r="D6" s="15" t="s">
        <v>114</v>
      </c>
      <c r="E6" s="15" t="s">
        <v>126</v>
      </c>
      <c r="F6" s="17"/>
      <c r="G6" s="14" t="s">
        <v>127</v>
      </c>
    </row>
    <row r="7" customFormat="false" ht="19.5" hidden="false" customHeight="true" outlineLevel="0" collapsed="false">
      <c r="A7" s="14" t="s">
        <v>128</v>
      </c>
      <c r="B7" s="15" t="s">
        <v>129</v>
      </c>
      <c r="C7" s="15" t="s">
        <v>125</v>
      </c>
      <c r="D7" s="15" t="s">
        <v>120</v>
      </c>
      <c r="E7" s="33" t="s">
        <v>130</v>
      </c>
      <c r="F7" s="17"/>
      <c r="G7" s="14" t="s">
        <v>131</v>
      </c>
    </row>
    <row r="8" customFormat="false" ht="19.5" hidden="false" customHeight="true" outlineLevel="0" collapsed="false">
      <c r="A8" s="25"/>
      <c r="B8" s="26"/>
      <c r="C8" s="26"/>
      <c r="D8" s="26"/>
      <c r="E8" s="26"/>
      <c r="F8" s="25"/>
      <c r="G8" s="25"/>
    </row>
    <row r="9" customFormat="false" ht="19.5" hidden="false" customHeight="true" outlineLevel="0" collapsed="false">
      <c r="A9" s="20"/>
      <c r="B9" s="21"/>
      <c r="C9" s="21"/>
      <c r="D9" s="21"/>
      <c r="E9" s="21"/>
      <c r="F9" s="20"/>
      <c r="G9" s="20"/>
    </row>
    <row r="10" customFormat="false" ht="19.5" hidden="false" customHeight="true" outlineLevel="0" collapsed="false">
      <c r="A10" s="25"/>
      <c r="B10" s="26"/>
      <c r="C10" s="26"/>
      <c r="D10" s="26"/>
      <c r="E10" s="26"/>
      <c r="F10" s="25"/>
      <c r="G10" s="25"/>
    </row>
    <row r="11" customFormat="false" ht="19.5" hidden="false" customHeight="true" outlineLevel="0" collapsed="false">
      <c r="A11" s="20"/>
      <c r="B11" s="21"/>
      <c r="C11" s="21"/>
      <c r="D11" s="21"/>
      <c r="E11" s="21"/>
      <c r="F11" s="20"/>
      <c r="G11" s="20"/>
    </row>
    <row r="12" customFormat="false" ht="19.5" hidden="false" customHeight="true" outlineLevel="0" collapsed="false">
      <c r="A12" s="25"/>
      <c r="B12" s="26"/>
      <c r="C12" s="26"/>
      <c r="D12" s="26"/>
      <c r="E12" s="26"/>
      <c r="F12" s="25"/>
      <c r="G12" s="25"/>
    </row>
    <row r="13" customFormat="false" ht="19.5" hidden="false" customHeight="true" outlineLevel="0" collapsed="false">
      <c r="A13" s="20"/>
      <c r="B13" s="21"/>
      <c r="C13" s="21"/>
      <c r="D13" s="21"/>
      <c r="E13" s="21"/>
      <c r="F13" s="20"/>
      <c r="G13" s="20"/>
    </row>
    <row r="14" customFormat="false" ht="19.5" hidden="false" customHeight="true" outlineLevel="0" collapsed="false">
      <c r="A14" s="25"/>
      <c r="B14" s="26"/>
      <c r="C14" s="26"/>
      <c r="D14" s="26"/>
      <c r="E14" s="26"/>
      <c r="F14" s="25"/>
      <c r="G14" s="25"/>
    </row>
    <row r="15" customFormat="false" ht="19.5" hidden="false" customHeight="true" outlineLevel="0" collapsed="false">
      <c r="A15" s="20"/>
      <c r="B15" s="21"/>
      <c r="C15" s="21"/>
      <c r="D15" s="21"/>
      <c r="E15" s="21"/>
      <c r="F15" s="20"/>
      <c r="G15" s="20"/>
    </row>
    <row r="16" customFormat="false" ht="19.5" hidden="false" customHeight="true" outlineLevel="0" collapsed="false">
      <c r="A16" s="25"/>
      <c r="B16" s="26"/>
      <c r="C16" s="26"/>
      <c r="D16" s="26"/>
      <c r="E16" s="26"/>
      <c r="F16" s="25"/>
      <c r="G16" s="25"/>
    </row>
    <row r="17" customFormat="false" ht="19.5" hidden="false" customHeight="true" outlineLevel="0" collapsed="false">
      <c r="A17" s="20"/>
      <c r="B17" s="21"/>
      <c r="C17" s="21"/>
      <c r="D17" s="21"/>
      <c r="E17" s="21"/>
      <c r="F17" s="20"/>
      <c r="G17" s="20"/>
    </row>
    <row r="18" customFormat="false" ht="19.5" hidden="false" customHeight="true" outlineLevel="0" collapsed="false">
      <c r="A18" s="25"/>
      <c r="B18" s="26"/>
      <c r="C18" s="26"/>
      <c r="D18" s="26"/>
      <c r="E18" s="26"/>
      <c r="F18" s="25"/>
      <c r="G18" s="25"/>
    </row>
    <row r="19" customFormat="false" ht="19.5" hidden="false" customHeight="true" outlineLevel="0" collapsed="false">
      <c r="A19" s="20"/>
      <c r="B19" s="21"/>
      <c r="C19" s="21"/>
      <c r="D19" s="21"/>
      <c r="E19" s="21"/>
      <c r="F19" s="20"/>
      <c r="G19" s="20"/>
    </row>
    <row r="20" customFormat="false" ht="19.5" hidden="false" customHeight="true" outlineLevel="0" collapsed="false">
      <c r="A20" s="25"/>
      <c r="B20" s="26"/>
      <c r="C20" s="26"/>
      <c r="D20" s="26"/>
      <c r="E20" s="26"/>
      <c r="F20" s="25"/>
      <c r="G20" s="25"/>
    </row>
    <row r="21" customFormat="false" ht="19.5" hidden="false" customHeight="true" outlineLevel="0" collapsed="false">
      <c r="A21" s="20"/>
      <c r="B21" s="21"/>
      <c r="C21" s="21"/>
      <c r="D21" s="21"/>
      <c r="E21" s="21"/>
      <c r="F21" s="20"/>
      <c r="G21" s="20"/>
    </row>
    <row r="22" customFormat="false" ht="19.5" hidden="false" customHeight="true" outlineLevel="0" collapsed="false">
      <c r="A22" s="25"/>
      <c r="B22" s="26"/>
      <c r="C22" s="26"/>
      <c r="D22" s="26"/>
      <c r="E22" s="26"/>
      <c r="F22" s="25"/>
      <c r="G22" s="25"/>
    </row>
    <row r="23" customFormat="false" ht="19.5" hidden="false" customHeight="true" outlineLevel="0" collapsed="false">
      <c r="A23" s="20"/>
      <c r="B23" s="21"/>
      <c r="C23" s="21"/>
      <c r="D23" s="21"/>
      <c r="E23" s="21"/>
      <c r="F23" s="20"/>
      <c r="G23" s="20"/>
    </row>
    <row r="24" customFormat="false" ht="19.5" hidden="false" customHeight="true" outlineLevel="0" collapsed="false">
      <c r="A24" s="25"/>
      <c r="B24" s="26"/>
      <c r="C24" s="26"/>
      <c r="D24" s="26"/>
      <c r="E24" s="26"/>
      <c r="F24" s="25"/>
      <c r="G24" s="25"/>
    </row>
    <row r="25" customFormat="false" ht="19.5" hidden="false" customHeight="true" outlineLevel="0" collapsed="false">
      <c r="A25" s="20"/>
      <c r="B25" s="21"/>
      <c r="C25" s="21"/>
      <c r="D25" s="21"/>
      <c r="E25" s="21"/>
      <c r="F25" s="20"/>
      <c r="G25" s="20"/>
    </row>
    <row r="26" customFormat="false" ht="19.5" hidden="false" customHeight="true" outlineLevel="0" collapsed="false">
      <c r="A26" s="25"/>
      <c r="B26" s="26"/>
      <c r="C26" s="26"/>
      <c r="D26" s="26"/>
      <c r="E26" s="26"/>
      <c r="F26" s="25"/>
      <c r="G26" s="25"/>
    </row>
    <row r="27" customFormat="false" ht="19.5" hidden="false" customHeight="true" outlineLevel="0" collapsed="false">
      <c r="A27" s="20"/>
      <c r="B27" s="21"/>
      <c r="C27" s="21"/>
      <c r="D27" s="21"/>
      <c r="E27" s="21"/>
      <c r="F27" s="20"/>
      <c r="G27" s="20"/>
    </row>
    <row r="28" customFormat="false" ht="19.5" hidden="false" customHeight="true" outlineLevel="0" collapsed="false">
      <c r="A28" s="25"/>
      <c r="B28" s="26"/>
      <c r="C28" s="26"/>
      <c r="D28" s="26"/>
      <c r="E28" s="26"/>
      <c r="F28" s="25"/>
      <c r="G28" s="25"/>
    </row>
  </sheetData>
  <mergeCells count="2">
    <mergeCell ref="A1:G1"/>
    <mergeCell ref="A2:G2"/>
  </mergeCells>
  <conditionalFormatting sqref="D4:D28">
    <cfRule type="cellIs" priority="2" operator="equal" aboveAverage="0" equalAverage="0" bottom="0" percent="0" rank="0" text="" dxfId="2">
      <formula>"高"</formula>
    </cfRule>
    <cfRule type="cellIs" priority="3" operator="equal" aboveAverage="0" equalAverage="0" bottom="0" percent="0" rank="0" text="" dxfId="1">
      <formula>"中"</formula>
    </cfRule>
    <cfRule type="cellIs" priority="4" operator="equal" aboveAverage="0" equalAverage="0" bottom="0" percent="0" rank="0" text="" dxfId="6">
      <formula>"低"</formula>
    </cfRule>
  </conditionalFormatting>
  <dataValidations count="2">
    <dataValidation allowBlank="true" errorStyle="stop" operator="between" showDropDown="false" showErrorMessage="false" showInputMessage="false" sqref="B4:B28" type="list">
      <formula1>"観光地,グルメ,カフェ,ショッピング,体験・アクティビティ,その他"</formula1>
      <formula2>0</formula2>
    </dataValidation>
    <dataValidation allowBlank="true" errorStyle="stop" operator="between" showDropDown="false" showErrorMessage="false" showInputMessage="false" sqref="D4:D28" type="list">
      <formula1>"高,中,低"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4A"/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11"/>
    <col collapsed="false" customWidth="true" hidden="false" outlineLevel="0" max="5" min="5" style="0" width="24"/>
  </cols>
  <sheetData>
    <row r="1" customFormat="false" ht="30" hidden="false" customHeight="true" outlineLevel="0" collapsed="false">
      <c r="A1" s="1" t="s">
        <v>132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11" t="s">
        <v>133</v>
      </c>
      <c r="B3" s="11" t="s">
        <v>134</v>
      </c>
      <c r="C3" s="11" t="s">
        <v>70</v>
      </c>
      <c r="D3" s="11" t="s">
        <v>135</v>
      </c>
      <c r="E3" s="11" t="s">
        <v>26</v>
      </c>
    </row>
    <row r="4" customFormat="false" ht="19.5" hidden="false" customHeight="true" outlineLevel="0" collapsed="false">
      <c r="A4" s="14" t="s">
        <v>136</v>
      </c>
      <c r="B4" s="14" t="s">
        <v>137</v>
      </c>
      <c r="C4" s="16" t="n">
        <v>3000</v>
      </c>
      <c r="D4" s="15" t="s">
        <v>98</v>
      </c>
      <c r="E4" s="17" t="s">
        <v>138</v>
      </c>
    </row>
    <row r="5" customFormat="false" ht="19.5" hidden="false" customHeight="true" outlineLevel="0" collapsed="false">
      <c r="A5" s="14" t="s">
        <v>139</v>
      </c>
      <c r="B5" s="14" t="s">
        <v>140</v>
      </c>
      <c r="C5" s="16" t="n">
        <v>2000</v>
      </c>
      <c r="D5" s="15" t="s">
        <v>98</v>
      </c>
      <c r="E5" s="17"/>
    </row>
    <row r="6" customFormat="false" ht="19.5" hidden="false" customHeight="true" outlineLevel="0" collapsed="false">
      <c r="A6" s="14" t="s">
        <v>141</v>
      </c>
      <c r="B6" s="14" t="s">
        <v>142</v>
      </c>
      <c r="C6" s="16" t="n">
        <v>4000</v>
      </c>
      <c r="D6" s="15" t="s">
        <v>30</v>
      </c>
      <c r="E6" s="17"/>
    </row>
    <row r="7" customFormat="false" ht="19.5" hidden="false" customHeight="true" outlineLevel="0" collapsed="false">
      <c r="A7" s="20"/>
      <c r="B7" s="20"/>
      <c r="C7" s="22"/>
      <c r="D7" s="21"/>
      <c r="E7" s="20"/>
    </row>
    <row r="8" customFormat="false" ht="19.5" hidden="false" customHeight="true" outlineLevel="0" collapsed="false">
      <c r="A8" s="25"/>
      <c r="B8" s="25"/>
      <c r="C8" s="27"/>
      <c r="D8" s="26"/>
      <c r="E8" s="25"/>
    </row>
    <row r="9" customFormat="false" ht="19.5" hidden="false" customHeight="true" outlineLevel="0" collapsed="false">
      <c r="A9" s="20"/>
      <c r="B9" s="20"/>
      <c r="C9" s="22"/>
      <c r="D9" s="21"/>
      <c r="E9" s="20"/>
    </row>
    <row r="10" customFormat="false" ht="19.5" hidden="false" customHeight="true" outlineLevel="0" collapsed="false">
      <c r="A10" s="25"/>
      <c r="B10" s="25"/>
      <c r="C10" s="27"/>
      <c r="D10" s="26"/>
      <c r="E10" s="25"/>
    </row>
    <row r="11" customFormat="false" ht="19.5" hidden="false" customHeight="true" outlineLevel="0" collapsed="false">
      <c r="A11" s="20"/>
      <c r="B11" s="20"/>
      <c r="C11" s="22"/>
      <c r="D11" s="21"/>
      <c r="E11" s="20"/>
    </row>
    <row r="12" customFormat="false" ht="19.5" hidden="false" customHeight="true" outlineLevel="0" collapsed="false">
      <c r="A12" s="25"/>
      <c r="B12" s="25"/>
      <c r="C12" s="27"/>
      <c r="D12" s="26"/>
      <c r="E12" s="25"/>
    </row>
    <row r="13" customFormat="false" ht="19.5" hidden="false" customHeight="true" outlineLevel="0" collapsed="false">
      <c r="A13" s="20"/>
      <c r="B13" s="20"/>
      <c r="C13" s="22"/>
      <c r="D13" s="21"/>
      <c r="E13" s="20"/>
    </row>
    <row r="14" customFormat="false" ht="19.5" hidden="false" customHeight="true" outlineLevel="0" collapsed="false">
      <c r="A14" s="25"/>
      <c r="B14" s="25"/>
      <c r="C14" s="27"/>
      <c r="D14" s="26"/>
      <c r="E14" s="25"/>
    </row>
    <row r="15" customFormat="false" ht="19.5" hidden="false" customHeight="true" outlineLevel="0" collapsed="false">
      <c r="A15" s="20"/>
      <c r="B15" s="20"/>
      <c r="C15" s="22"/>
      <c r="D15" s="21"/>
      <c r="E15" s="20"/>
    </row>
    <row r="16" customFormat="false" ht="19.5" hidden="false" customHeight="true" outlineLevel="0" collapsed="false">
      <c r="A16" s="25"/>
      <c r="B16" s="25"/>
      <c r="C16" s="27"/>
      <c r="D16" s="26"/>
      <c r="E16" s="25"/>
    </row>
    <row r="17" customFormat="false" ht="19.5" hidden="false" customHeight="true" outlineLevel="0" collapsed="false">
      <c r="A17" s="20"/>
      <c r="B17" s="20"/>
      <c r="C17" s="22"/>
      <c r="D17" s="21"/>
      <c r="E17" s="20"/>
    </row>
    <row r="18" customFormat="false" ht="19.5" hidden="false" customHeight="true" outlineLevel="0" collapsed="false">
      <c r="A18" s="25"/>
      <c r="B18" s="25"/>
      <c r="C18" s="27"/>
      <c r="D18" s="26"/>
      <c r="E18" s="25"/>
    </row>
    <row r="19" customFormat="false" ht="19.5" hidden="false" customHeight="true" outlineLevel="0" collapsed="false">
      <c r="A19" s="20"/>
      <c r="B19" s="20"/>
      <c r="C19" s="22"/>
      <c r="D19" s="21"/>
      <c r="E19" s="20"/>
    </row>
    <row r="20" customFormat="false" ht="19.5" hidden="false" customHeight="true" outlineLevel="0" collapsed="false">
      <c r="A20" s="25"/>
      <c r="B20" s="25"/>
      <c r="C20" s="27"/>
      <c r="D20" s="26"/>
      <c r="E20" s="25"/>
    </row>
    <row r="21" customFormat="false" ht="19.5" hidden="false" customHeight="true" outlineLevel="0" collapsed="false">
      <c r="A21" s="20"/>
      <c r="B21" s="20"/>
      <c r="C21" s="22"/>
      <c r="D21" s="21"/>
      <c r="E21" s="20"/>
    </row>
    <row r="22" customFormat="false" ht="19.5" hidden="false" customHeight="true" outlineLevel="0" collapsed="false">
      <c r="A22" s="25"/>
      <c r="B22" s="25"/>
      <c r="C22" s="27"/>
      <c r="D22" s="26"/>
      <c r="E22" s="25"/>
    </row>
    <row r="23" customFormat="false" ht="19.5" hidden="false" customHeight="true" outlineLevel="0" collapsed="false">
      <c r="A23" s="20"/>
      <c r="B23" s="20"/>
      <c r="C23" s="22"/>
      <c r="D23" s="21"/>
      <c r="E23" s="20"/>
    </row>
    <row r="24" customFormat="false" ht="15" hidden="false" customHeight="false" outlineLevel="0" collapsed="false">
      <c r="A24" s="47" t="s">
        <v>75</v>
      </c>
      <c r="B24" s="47"/>
      <c r="C24" s="30" t="n">
        <f aca="false">SUM(C4:C23)</f>
        <v>9000</v>
      </c>
      <c r="D24" s="28"/>
      <c r="E24" s="28"/>
    </row>
  </sheetData>
  <mergeCells count="3">
    <mergeCell ref="A1:E1"/>
    <mergeCell ref="A2:E2"/>
    <mergeCell ref="A24:B24"/>
  </mergeCells>
  <conditionalFormatting sqref="D4:D23">
    <cfRule type="cellIs" priority="2" operator="equal" aboveAverage="0" equalAverage="0" bottom="0" percent="0" rank="0" text="" dxfId="0">
      <formula>"済"</formula>
    </cfRule>
  </conditionalFormatting>
  <dataValidations count="1">
    <dataValidation allowBlank="true" errorStyle="stop" operator="between" showDropDown="false" showErrorMessage="false" showInputMessage="false" sqref="D4:D23" type="list">
      <formula1>"済,未"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4A"/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28"/>
  </cols>
  <sheetData>
    <row r="1" customFormat="false" ht="30" hidden="false" customHeight="true" outlineLevel="0" collapsed="false">
      <c r="A1" s="1" t="s">
        <v>143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11" t="s">
        <v>107</v>
      </c>
      <c r="B3" s="11" t="s">
        <v>144</v>
      </c>
      <c r="C3" s="11" t="s">
        <v>145</v>
      </c>
      <c r="D3" s="11" t="s">
        <v>26</v>
      </c>
    </row>
    <row r="4" customFormat="false" ht="19.5" hidden="false" customHeight="true" outlineLevel="0" collapsed="false">
      <c r="A4" s="48" t="s">
        <v>146</v>
      </c>
      <c r="B4" s="26" t="s">
        <v>147</v>
      </c>
      <c r="C4" s="48" t="s">
        <v>148</v>
      </c>
      <c r="D4" s="48"/>
    </row>
    <row r="5" customFormat="false" ht="19.5" hidden="false" customHeight="true" outlineLevel="0" collapsed="false">
      <c r="A5" s="48" t="s">
        <v>149</v>
      </c>
      <c r="B5" s="26" t="s">
        <v>150</v>
      </c>
      <c r="C5" s="48" t="s">
        <v>151</v>
      </c>
      <c r="D5" s="48"/>
    </row>
    <row r="6" customFormat="false" ht="19.5" hidden="false" customHeight="true" outlineLevel="0" collapsed="false">
      <c r="A6" s="48" t="s">
        <v>152</v>
      </c>
      <c r="B6" s="26" t="s">
        <v>153</v>
      </c>
      <c r="C6" s="48" t="s">
        <v>154</v>
      </c>
      <c r="D6" s="48"/>
    </row>
    <row r="7" customFormat="false" ht="19.5" hidden="false" customHeight="true" outlineLevel="0" collapsed="false">
      <c r="A7" s="14" t="s">
        <v>155</v>
      </c>
      <c r="B7" s="33" t="s">
        <v>59</v>
      </c>
      <c r="C7" s="14" t="s">
        <v>156</v>
      </c>
      <c r="D7" s="14" t="s">
        <v>157</v>
      </c>
    </row>
    <row r="8" customFormat="false" ht="19.5" hidden="false" customHeight="true" outlineLevel="0" collapsed="false">
      <c r="A8" s="14" t="s">
        <v>158</v>
      </c>
      <c r="B8" s="33" t="s">
        <v>159</v>
      </c>
      <c r="C8" s="14" t="s">
        <v>160</v>
      </c>
      <c r="D8" s="14" t="s">
        <v>161</v>
      </c>
    </row>
    <row r="9" customFormat="false" ht="19.5" hidden="false" customHeight="true" outlineLevel="0" collapsed="false">
      <c r="A9" s="20"/>
      <c r="B9" s="21"/>
      <c r="C9" s="20"/>
      <c r="D9" s="20"/>
    </row>
    <row r="10" customFormat="false" ht="19.5" hidden="false" customHeight="true" outlineLevel="0" collapsed="false">
      <c r="A10" s="48"/>
      <c r="B10" s="26"/>
      <c r="C10" s="48"/>
      <c r="D10" s="48"/>
    </row>
    <row r="11" customFormat="false" ht="19.5" hidden="false" customHeight="true" outlineLevel="0" collapsed="false">
      <c r="A11" s="20"/>
      <c r="B11" s="21"/>
      <c r="C11" s="20"/>
      <c r="D11" s="20"/>
    </row>
    <row r="12" customFormat="false" ht="19.5" hidden="false" customHeight="true" outlineLevel="0" collapsed="false">
      <c r="A12" s="48"/>
      <c r="B12" s="26"/>
      <c r="C12" s="48"/>
      <c r="D12" s="48"/>
    </row>
    <row r="13" customFormat="false" ht="19.5" hidden="false" customHeight="true" outlineLevel="0" collapsed="false">
      <c r="A13" s="20"/>
      <c r="B13" s="21"/>
      <c r="C13" s="20"/>
      <c r="D13" s="20"/>
    </row>
    <row r="14" customFormat="false" ht="19.5" hidden="false" customHeight="true" outlineLevel="0" collapsed="false">
      <c r="A14" s="48"/>
      <c r="B14" s="26"/>
      <c r="C14" s="48"/>
      <c r="D14" s="48"/>
    </row>
    <row r="15" customFormat="false" ht="19.5" hidden="false" customHeight="true" outlineLevel="0" collapsed="false">
      <c r="A15" s="20"/>
      <c r="B15" s="21"/>
      <c r="C15" s="20"/>
      <c r="D15" s="20"/>
    </row>
    <row r="16" customFormat="false" ht="19.5" hidden="false" customHeight="true" outlineLevel="0" collapsed="false">
      <c r="A16" s="48"/>
      <c r="B16" s="26"/>
      <c r="C16" s="48"/>
      <c r="D16" s="48"/>
    </row>
    <row r="17" customFormat="false" ht="19.5" hidden="false" customHeight="true" outlineLevel="0" collapsed="false">
      <c r="A17" s="20"/>
      <c r="B17" s="21"/>
      <c r="C17" s="20"/>
      <c r="D17" s="20"/>
    </row>
    <row r="18" customFormat="false" ht="19.5" hidden="false" customHeight="true" outlineLevel="0" collapsed="false">
      <c r="A18" s="48"/>
      <c r="B18" s="26"/>
      <c r="C18" s="48"/>
      <c r="D18" s="48"/>
    </row>
  </sheetData>
  <mergeCells count="2">
    <mergeCell ref="A1:D1"/>
    <mergeCell ref="A2:D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2026-09-21T07:11:06Z</dcterms:created>
  <dc:creator>openpyxl</dc:creator>
  <dc:description/>
  <dc:language>en-US</dc:language>
  <cp:lastModifiedBy/>
  <dcterms:modified xsi:type="dcterms:W3CDTF">2026-09-21T07:11:06Z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